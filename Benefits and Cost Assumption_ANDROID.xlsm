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0" windowWidth="20730" windowHeight="9885" tabRatio="500"/>
  </bookViews>
  <sheets>
    <sheet name="NCF" sheetId="7" r:id="rId1"/>
    <sheet name="Montecarlo_Simulation" sheetId="5" r:id="rId2"/>
    <sheet name="Result" sheetId="8" r:id="rId3"/>
  </sheets>
  <externalReferences>
    <externalReference r:id="rId4"/>
  </externalReferences>
  <definedNames>
    <definedName name="_xlnm._FilterDatabase" localSheetId="1" hidden="1">Montecarlo_Simulation!$Q$186:$Q$1035</definedName>
    <definedName name="FTE">NCF!$V$22</definedName>
  </definedNames>
  <calcPr calcId="145621"/>
</workbook>
</file>

<file path=xl/calcChain.xml><?xml version="1.0" encoding="utf-8"?>
<calcChain xmlns="http://schemas.openxmlformats.org/spreadsheetml/2006/main">
  <c r="G77" i="7" l="1"/>
  <c r="F10" i="5"/>
  <c r="H5" i="7"/>
  <c r="I5" i="7" s="1"/>
  <c r="J5" i="7" s="1"/>
  <c r="K5" i="7" s="1"/>
  <c r="L5" i="7" s="1"/>
  <c r="M9" i="5" l="1"/>
  <c r="L9" i="5"/>
  <c r="K9" i="5"/>
  <c r="J9" i="5"/>
  <c r="I9" i="5"/>
  <c r="H18" i="5" l="1"/>
  <c r="H9" i="5" l="1"/>
  <c r="H10" i="5" s="1"/>
  <c r="I10" i="7"/>
  <c r="J10" i="7" s="1"/>
  <c r="K10" i="7" s="1"/>
  <c r="L10" i="7" s="1"/>
  <c r="L6" i="7"/>
  <c r="L7" i="7" s="1"/>
  <c r="K6" i="7"/>
  <c r="K7" i="7" s="1"/>
  <c r="J6" i="7"/>
  <c r="J7" i="7" s="1"/>
  <c r="I6" i="7"/>
  <c r="I7" i="7" s="1"/>
  <c r="H6" i="7"/>
  <c r="H7" i="7" s="1"/>
  <c r="G6" i="7"/>
  <c r="G7" i="7" s="1"/>
  <c r="J10" i="5" l="1"/>
  <c r="K10" i="5"/>
  <c r="I10" i="5"/>
  <c r="L10" i="5"/>
  <c r="M10" i="5"/>
  <c r="M50" i="5" s="1"/>
  <c r="D7" i="8"/>
  <c r="I7" i="8" l="1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6" i="8"/>
  <c r="L6" i="8" s="1"/>
  <c r="L7" i="8" s="1"/>
  <c r="L8" i="8" l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Q71" i="7" l="1"/>
  <c r="H67" i="7" s="1"/>
  <c r="P71" i="7"/>
  <c r="G67" i="7" s="1"/>
  <c r="R67" i="7"/>
  <c r="R71" i="7" s="1"/>
  <c r="I67" i="7" s="1"/>
  <c r="Q65" i="7"/>
  <c r="S67" i="7" l="1"/>
  <c r="D11" i="8"/>
  <c r="D10" i="8"/>
  <c r="D9" i="8"/>
  <c r="D8" i="8"/>
  <c r="D6" i="8"/>
  <c r="D5" i="8"/>
  <c r="S71" i="7" l="1"/>
  <c r="J67" i="7" s="1"/>
  <c r="T67" i="7"/>
  <c r="U67" i="7" l="1"/>
  <c r="U71" i="7" s="1"/>
  <c r="L67" i="7" s="1"/>
  <c r="T71" i="7"/>
  <c r="K67" i="7" s="1"/>
  <c r="H16" i="5"/>
  <c r="H1029" i="5" l="1"/>
  <c r="H1025" i="5"/>
  <c r="H1021" i="5"/>
  <c r="H1017" i="5"/>
  <c r="H1013" i="5"/>
  <c r="H1009" i="5"/>
  <c r="H1005" i="5"/>
  <c r="H1001" i="5"/>
  <c r="H997" i="5"/>
  <c r="H993" i="5"/>
  <c r="H989" i="5"/>
  <c r="H985" i="5"/>
  <c r="H981" i="5"/>
  <c r="H977" i="5"/>
  <c r="H1028" i="5"/>
  <c r="H1024" i="5"/>
  <c r="H1020" i="5"/>
  <c r="H1016" i="5"/>
  <c r="H1012" i="5"/>
  <c r="H1008" i="5"/>
  <c r="H1004" i="5"/>
  <c r="H1000" i="5"/>
  <c r="H996" i="5"/>
  <c r="H992" i="5"/>
  <c r="H988" i="5"/>
  <c r="H984" i="5"/>
  <c r="H980" i="5"/>
  <c r="H976" i="5"/>
  <c r="H972" i="5"/>
  <c r="H968" i="5"/>
  <c r="H964" i="5"/>
  <c r="H960" i="5"/>
  <c r="H956" i="5"/>
  <c r="H952" i="5"/>
  <c r="H948" i="5"/>
  <c r="H944" i="5"/>
  <c r="H940" i="5"/>
  <c r="H936" i="5"/>
  <c r="H932" i="5"/>
  <c r="H928" i="5"/>
  <c r="H924" i="5"/>
  <c r="H920" i="5"/>
  <c r="H916" i="5"/>
  <c r="H912" i="5"/>
  <c r="H908" i="5"/>
  <c r="H904" i="5"/>
  <c r="H900" i="5"/>
  <c r="H896" i="5"/>
  <c r="H892" i="5"/>
  <c r="H888" i="5"/>
  <c r="H884" i="5"/>
  <c r="H880" i="5"/>
  <c r="H876" i="5"/>
  <c r="H872" i="5"/>
  <c r="H868" i="5"/>
  <c r="H864" i="5"/>
  <c r="H860" i="5"/>
  <c r="H856" i="5"/>
  <c r="H852" i="5"/>
  <c r="H848" i="5"/>
  <c r="H844" i="5"/>
  <c r="H840" i="5"/>
  <c r="H836" i="5"/>
  <c r="H832" i="5"/>
  <c r="H828" i="5"/>
  <c r="H824" i="5"/>
  <c r="H820" i="5"/>
  <c r="H816" i="5"/>
  <c r="H812" i="5"/>
  <c r="H808" i="5"/>
  <c r="H804" i="5"/>
  <c r="H800" i="5"/>
  <c r="H796" i="5"/>
  <c r="H792" i="5"/>
  <c r="H788" i="5"/>
  <c r="H784" i="5"/>
  <c r="H780" i="5"/>
  <c r="H776" i="5"/>
  <c r="H772" i="5"/>
  <c r="H768" i="5"/>
  <c r="H764" i="5"/>
  <c r="H760" i="5"/>
  <c r="H756" i="5"/>
  <c r="H752" i="5"/>
  <c r="H748" i="5"/>
  <c r="H744" i="5"/>
  <c r="H740" i="5"/>
  <c r="H736" i="5"/>
  <c r="H732" i="5"/>
  <c r="H728" i="5"/>
  <c r="H724" i="5"/>
  <c r="H720" i="5"/>
  <c r="H716" i="5"/>
  <c r="H712" i="5"/>
  <c r="H708" i="5"/>
  <c r="H704" i="5"/>
  <c r="H700" i="5"/>
  <c r="H696" i="5"/>
  <c r="H692" i="5"/>
  <c r="H1027" i="5"/>
  <c r="H1019" i="5"/>
  <c r="H1011" i="5"/>
  <c r="H1003" i="5"/>
  <c r="H995" i="5"/>
  <c r="H987" i="5"/>
  <c r="H979" i="5"/>
  <c r="H973" i="5"/>
  <c r="H967" i="5"/>
  <c r="H962" i="5"/>
  <c r="H957" i="5"/>
  <c r="H951" i="5"/>
  <c r="H946" i="5"/>
  <c r="H941" i="5"/>
  <c r="H935" i="5"/>
  <c r="H930" i="5"/>
  <c r="H925" i="5"/>
  <c r="H919" i="5"/>
  <c r="H914" i="5"/>
  <c r="H909" i="5"/>
  <c r="H903" i="5"/>
  <c r="H898" i="5"/>
  <c r="H893" i="5"/>
  <c r="H887" i="5"/>
  <c r="H882" i="5"/>
  <c r="H877" i="5"/>
  <c r="H871" i="5"/>
  <c r="H866" i="5"/>
  <c r="H861" i="5"/>
  <c r="H855" i="5"/>
  <c r="H850" i="5"/>
  <c r="H845" i="5"/>
  <c r="H839" i="5"/>
  <c r="H834" i="5"/>
  <c r="H829" i="5"/>
  <c r="H823" i="5"/>
  <c r="H818" i="5"/>
  <c r="H813" i="5"/>
  <c r="H807" i="5"/>
  <c r="H802" i="5"/>
  <c r="H797" i="5"/>
  <c r="H791" i="5"/>
  <c r="H786" i="5"/>
  <c r="H781" i="5"/>
  <c r="H775" i="5"/>
  <c r="H770" i="5"/>
  <c r="H765" i="5"/>
  <c r="H759" i="5"/>
  <c r="H754" i="5"/>
  <c r="H749" i="5"/>
  <c r="H743" i="5"/>
  <c r="H738" i="5"/>
  <c r="H733" i="5"/>
  <c r="H727" i="5"/>
  <c r="H722" i="5"/>
  <c r="H717" i="5"/>
  <c r="H711" i="5"/>
  <c r="H706" i="5"/>
  <c r="H701" i="5"/>
  <c r="H1026" i="5"/>
  <c r="H1018" i="5"/>
  <c r="H1010" i="5"/>
  <c r="H1002" i="5"/>
  <c r="H994" i="5"/>
  <c r="H986" i="5"/>
  <c r="H978" i="5"/>
  <c r="H971" i="5"/>
  <c r="H966" i="5"/>
  <c r="H961" i="5"/>
  <c r="H955" i="5"/>
  <c r="H950" i="5"/>
  <c r="H945" i="5"/>
  <c r="H939" i="5"/>
  <c r="H934" i="5"/>
  <c r="H929" i="5"/>
  <c r="H923" i="5"/>
  <c r="H918" i="5"/>
  <c r="H913" i="5"/>
  <c r="H907" i="5"/>
  <c r="H902" i="5"/>
  <c r="H897" i="5"/>
  <c r="H891" i="5"/>
  <c r="H886" i="5"/>
  <c r="H881" i="5"/>
  <c r="H875" i="5"/>
  <c r="H870" i="5"/>
  <c r="H865" i="5"/>
  <c r="H859" i="5"/>
  <c r="H854" i="5"/>
  <c r="H849" i="5"/>
  <c r="H843" i="5"/>
  <c r="H838" i="5"/>
  <c r="H833" i="5"/>
  <c r="H827" i="5"/>
  <c r="H822" i="5"/>
  <c r="H817" i="5"/>
  <c r="H811" i="5"/>
  <c r="H806" i="5"/>
  <c r="H801" i="5"/>
  <c r="H795" i="5"/>
  <c r="H790" i="5"/>
  <c r="H785" i="5"/>
  <c r="H779" i="5"/>
  <c r="H774" i="5"/>
  <c r="H769" i="5"/>
  <c r="H763" i="5"/>
  <c r="H758" i="5"/>
  <c r="H753" i="5"/>
  <c r="H747" i="5"/>
  <c r="H742" i="5"/>
  <c r="H737" i="5"/>
  <c r="H731" i="5"/>
  <c r="H726" i="5"/>
  <c r="H721" i="5"/>
  <c r="H715" i="5"/>
  <c r="H710" i="5"/>
  <c r="H705" i="5"/>
  <c r="H699" i="5"/>
  <c r="H694" i="5"/>
  <c r="H689" i="5"/>
  <c r="H685" i="5"/>
  <c r="H681" i="5"/>
  <c r="H677" i="5"/>
  <c r="H673" i="5"/>
  <c r="H669" i="5"/>
  <c r="H665" i="5"/>
  <c r="H661" i="5"/>
  <c r="H657" i="5"/>
  <c r="H653" i="5"/>
  <c r="H649" i="5"/>
  <c r="H645" i="5"/>
  <c r="H641" i="5"/>
  <c r="H637" i="5"/>
  <c r="H633" i="5"/>
  <c r="H629" i="5"/>
  <c r="H625" i="5"/>
  <c r="H621" i="5"/>
  <c r="H617" i="5"/>
  <c r="H613" i="5"/>
  <c r="H609" i="5"/>
  <c r="H605" i="5"/>
  <c r="H601" i="5"/>
  <c r="H597" i="5"/>
  <c r="H593" i="5"/>
  <c r="H589" i="5"/>
  <c r="H585" i="5"/>
  <c r="H581" i="5"/>
  <c r="H577" i="5"/>
  <c r="H573" i="5"/>
  <c r="H569" i="5"/>
  <c r="H565" i="5"/>
  <c r="H561" i="5"/>
  <c r="H557" i="5"/>
  <c r="H553" i="5"/>
  <c r="H549" i="5"/>
  <c r="H545" i="5"/>
  <c r="H541" i="5"/>
  <c r="H537" i="5"/>
  <c r="H533" i="5"/>
  <c r="H529" i="5"/>
  <c r="H525" i="5"/>
  <c r="H521" i="5"/>
  <c r="H517" i="5"/>
  <c r="H513" i="5"/>
  <c r="H509" i="5"/>
  <c r="H505" i="5"/>
  <c r="H501" i="5"/>
  <c r="H497" i="5"/>
  <c r="H493" i="5"/>
  <c r="H489" i="5"/>
  <c r="H485" i="5"/>
  <c r="H481" i="5"/>
  <c r="H477" i="5"/>
  <c r="H473" i="5"/>
  <c r="H469" i="5"/>
  <c r="H465" i="5"/>
  <c r="H461" i="5"/>
  <c r="H457" i="5"/>
  <c r="H453" i="5"/>
  <c r="H449" i="5"/>
  <c r="H445" i="5"/>
  <c r="H441" i="5"/>
  <c r="H437" i="5"/>
  <c r="H433" i="5"/>
  <c r="H429" i="5"/>
  <c r="H425" i="5"/>
  <c r="H421" i="5"/>
  <c r="H417" i="5"/>
  <c r="H413" i="5"/>
  <c r="H409" i="5"/>
  <c r="H405" i="5"/>
  <c r="H401" i="5"/>
  <c r="H397" i="5"/>
  <c r="H393" i="5"/>
  <c r="H389" i="5"/>
  <c r="H385" i="5"/>
  <c r="H381" i="5"/>
  <c r="H377" i="5"/>
  <c r="H373" i="5"/>
  <c r="H369" i="5"/>
  <c r="H365" i="5"/>
  <c r="H361" i="5"/>
  <c r="H357" i="5"/>
  <c r="H353" i="5"/>
  <c r="H349" i="5"/>
  <c r="H345" i="5"/>
  <c r="H341" i="5"/>
  <c r="H337" i="5"/>
  <c r="H333" i="5"/>
  <c r="H329" i="5"/>
  <c r="H325" i="5"/>
  <c r="H321" i="5"/>
  <c r="H317" i="5"/>
  <c r="H313" i="5"/>
  <c r="H309" i="5"/>
  <c r="H305" i="5"/>
  <c r="H301" i="5"/>
  <c r="H297" i="5"/>
  <c r="H293" i="5"/>
  <c r="H289" i="5"/>
  <c r="H285" i="5"/>
  <c r="H281" i="5"/>
  <c r="H277" i="5"/>
  <c r="H273" i="5"/>
  <c r="H269" i="5"/>
  <c r="H265" i="5"/>
  <c r="H261" i="5"/>
  <c r="H257" i="5"/>
  <c r="H253" i="5"/>
  <c r="H1030" i="5"/>
  <c r="H1014" i="5"/>
  <c r="H998" i="5"/>
  <c r="H982" i="5"/>
  <c r="H969" i="5"/>
  <c r="H958" i="5"/>
  <c r="H947" i="5"/>
  <c r="H937" i="5"/>
  <c r="H926" i="5"/>
  <c r="H915" i="5"/>
  <c r="H905" i="5"/>
  <c r="H894" i="5"/>
  <c r="H883" i="5"/>
  <c r="H873" i="5"/>
  <c r="H862" i="5"/>
  <c r="H851" i="5"/>
  <c r="H841" i="5"/>
  <c r="H830" i="5"/>
  <c r="H819" i="5"/>
  <c r="H809" i="5"/>
  <c r="H798" i="5"/>
  <c r="H787" i="5"/>
  <c r="H777" i="5"/>
  <c r="H766" i="5"/>
  <c r="H755" i="5"/>
  <c r="H745" i="5"/>
  <c r="H734" i="5"/>
  <c r="H723" i="5"/>
  <c r="H713" i="5"/>
  <c r="H702" i="5"/>
  <c r="H693" i="5"/>
  <c r="H687" i="5"/>
  <c r="H682" i="5"/>
  <c r="H676" i="5"/>
  <c r="H671" i="5"/>
  <c r="H666" i="5"/>
  <c r="H660" i="5"/>
  <c r="H655" i="5"/>
  <c r="H650" i="5"/>
  <c r="H644" i="5"/>
  <c r="H639" i="5"/>
  <c r="H634" i="5"/>
  <c r="H628" i="5"/>
  <c r="H623" i="5"/>
  <c r="H618" i="5"/>
  <c r="H612" i="5"/>
  <c r="H607" i="5"/>
  <c r="H602" i="5"/>
  <c r="H596" i="5"/>
  <c r="H591" i="5"/>
  <c r="H586" i="5"/>
  <c r="H580" i="5"/>
  <c r="H575" i="5"/>
  <c r="H570" i="5"/>
  <c r="H564" i="5"/>
  <c r="H559" i="5"/>
  <c r="H554" i="5"/>
  <c r="H548" i="5"/>
  <c r="H543" i="5"/>
  <c r="H538" i="5"/>
  <c r="H532" i="5"/>
  <c r="H527" i="5"/>
  <c r="H522" i="5"/>
  <c r="H516" i="5"/>
  <c r="H511" i="5"/>
  <c r="H506" i="5"/>
  <c r="H500" i="5"/>
  <c r="H495" i="5"/>
  <c r="H490" i="5"/>
  <c r="H484" i="5"/>
  <c r="H479" i="5"/>
  <c r="H474" i="5"/>
  <c r="H468" i="5"/>
  <c r="H463" i="5"/>
  <c r="H458" i="5"/>
  <c r="H452" i="5"/>
  <c r="H447" i="5"/>
  <c r="H442" i="5"/>
  <c r="H436" i="5"/>
  <c r="H431" i="5"/>
  <c r="H426" i="5"/>
  <c r="H420" i="5"/>
  <c r="H415" i="5"/>
  <c r="H410" i="5"/>
  <c r="H404" i="5"/>
  <c r="H1022" i="5"/>
  <c r="H999" i="5"/>
  <c r="H975" i="5"/>
  <c r="H963" i="5"/>
  <c r="H949" i="5"/>
  <c r="H933" i="5"/>
  <c r="H921" i="5"/>
  <c r="H906" i="5"/>
  <c r="H890" i="5"/>
  <c r="H878" i="5"/>
  <c r="H863" i="5"/>
  <c r="H847" i="5"/>
  <c r="H835" i="5"/>
  <c r="H821" i="5"/>
  <c r="H805" i="5"/>
  <c r="H793" i="5"/>
  <c r="H778" i="5"/>
  <c r="H762" i="5"/>
  <c r="H750" i="5"/>
  <c r="H735" i="5"/>
  <c r="H719" i="5"/>
  <c r="H707" i="5"/>
  <c r="H695" i="5"/>
  <c r="H686" i="5"/>
  <c r="H679" i="5"/>
  <c r="H672" i="5"/>
  <c r="H664" i="5"/>
  <c r="H658" i="5"/>
  <c r="H651" i="5"/>
  <c r="H643" i="5"/>
  <c r="H636" i="5"/>
  <c r="H630" i="5"/>
  <c r="H622" i="5"/>
  <c r="H615" i="5"/>
  <c r="H608" i="5"/>
  <c r="H600" i="5"/>
  <c r="H594" i="5"/>
  <c r="H587" i="5"/>
  <c r="H579" i="5"/>
  <c r="H572" i="5"/>
  <c r="H566" i="5"/>
  <c r="H558" i="5"/>
  <c r="H551" i="5"/>
  <c r="H544" i="5"/>
  <c r="H536" i="5"/>
  <c r="H530" i="5"/>
  <c r="H523" i="5"/>
  <c r="H515" i="5"/>
  <c r="H508" i="5"/>
  <c r="H502" i="5"/>
  <c r="H494" i="5"/>
  <c r="H487" i="5"/>
  <c r="H480" i="5"/>
  <c r="H472" i="5"/>
  <c r="H466" i="5"/>
  <c r="H459" i="5"/>
  <c r="H451" i="5"/>
  <c r="H444" i="5"/>
  <c r="H438" i="5"/>
  <c r="H430" i="5"/>
  <c r="H423" i="5"/>
  <c r="H416" i="5"/>
  <c r="H408" i="5"/>
  <c r="H402" i="5"/>
  <c r="H396" i="5"/>
  <c r="H391" i="5"/>
  <c r="H386" i="5"/>
  <c r="H380" i="5"/>
  <c r="H375" i="5"/>
  <c r="H370" i="5"/>
  <c r="H364" i="5"/>
  <c r="H359" i="5"/>
  <c r="H354" i="5"/>
  <c r="H348" i="5"/>
  <c r="H343" i="5"/>
  <c r="H338" i="5"/>
  <c r="H332" i="5"/>
  <c r="H327" i="5"/>
  <c r="H322" i="5"/>
  <c r="H316" i="5"/>
  <c r="H311" i="5"/>
  <c r="H306" i="5"/>
  <c r="H300" i="5"/>
  <c r="H295" i="5"/>
  <c r="H290" i="5"/>
  <c r="H1015" i="5"/>
  <c r="H991" i="5"/>
  <c r="H974" i="5"/>
  <c r="H959" i="5"/>
  <c r="H943" i="5"/>
  <c r="H931" i="5"/>
  <c r="H917" i="5"/>
  <c r="H901" i="5"/>
  <c r="H889" i="5"/>
  <c r="H874" i="5"/>
  <c r="H858" i="5"/>
  <c r="H846" i="5"/>
  <c r="H831" i="5"/>
  <c r="H815" i="5"/>
  <c r="H803" i="5"/>
  <c r="H789" i="5"/>
  <c r="H773" i="5"/>
  <c r="H761" i="5"/>
  <c r="H746" i="5"/>
  <c r="H730" i="5"/>
  <c r="H718" i="5"/>
  <c r="H703" i="5"/>
  <c r="H691" i="5"/>
  <c r="H684" i="5"/>
  <c r="H678" i="5"/>
  <c r="H670" i="5"/>
  <c r="H663" i="5"/>
  <c r="H656" i="5"/>
  <c r="H648" i="5"/>
  <c r="H642" i="5"/>
  <c r="H635" i="5"/>
  <c r="H627" i="5"/>
  <c r="H620" i="5"/>
  <c r="H614" i="5"/>
  <c r="H606" i="5"/>
  <c r="H599" i="5"/>
  <c r="H592" i="5"/>
  <c r="H584" i="5"/>
  <c r="H578" i="5"/>
  <c r="H571" i="5"/>
  <c r="H563" i="5"/>
  <c r="H556" i="5"/>
  <c r="H550" i="5"/>
  <c r="H542" i="5"/>
  <c r="H535" i="5"/>
  <c r="H528" i="5"/>
  <c r="H520" i="5"/>
  <c r="H514" i="5"/>
  <c r="H507" i="5"/>
  <c r="H499" i="5"/>
  <c r="H492" i="5"/>
  <c r="H486" i="5"/>
  <c r="H478" i="5"/>
  <c r="H471" i="5"/>
  <c r="H464" i="5"/>
  <c r="H456" i="5"/>
  <c r="H450" i="5"/>
  <c r="H443" i="5"/>
  <c r="H435" i="5"/>
  <c r="H428" i="5"/>
  <c r="H422" i="5"/>
  <c r="H414" i="5"/>
  <c r="H407" i="5"/>
  <c r="H400" i="5"/>
  <c r="H395" i="5"/>
  <c r="H390" i="5"/>
  <c r="H384" i="5"/>
  <c r="H379" i="5"/>
  <c r="H374" i="5"/>
  <c r="H368" i="5"/>
  <c r="H363" i="5"/>
  <c r="H358" i="5"/>
  <c r="H352" i="5"/>
  <c r="H347" i="5"/>
  <c r="H342" i="5"/>
  <c r="H336" i="5"/>
  <c r="H331" i="5"/>
  <c r="H326" i="5"/>
  <c r="H320" i="5"/>
  <c r="H315" i="5"/>
  <c r="H310" i="5"/>
  <c r="H304" i="5"/>
  <c r="H299" i="5"/>
  <c r="H294" i="5"/>
  <c r="H288" i="5"/>
  <c r="H283" i="5"/>
  <c r="H278" i="5"/>
  <c r="H272" i="5"/>
  <c r="H267" i="5"/>
  <c r="H262" i="5"/>
  <c r="H256" i="5"/>
  <c r="H251" i="5"/>
  <c r="H247" i="5"/>
  <c r="H243" i="5"/>
  <c r="H239" i="5"/>
  <c r="H235" i="5"/>
  <c r="H231" i="5"/>
  <c r="H227" i="5"/>
  <c r="H223" i="5"/>
  <c r="H219" i="5"/>
  <c r="H215" i="5"/>
  <c r="H211" i="5"/>
  <c r="H207" i="5"/>
  <c r="H203" i="5"/>
  <c r="H199" i="5"/>
  <c r="H195" i="5"/>
  <c r="H191" i="5"/>
  <c r="H187" i="5"/>
  <c r="H183" i="5"/>
  <c r="H179" i="5"/>
  <c r="H175" i="5"/>
  <c r="H171" i="5"/>
  <c r="H167" i="5"/>
  <c r="H163" i="5"/>
  <c r="H159" i="5"/>
  <c r="H155" i="5"/>
  <c r="H151" i="5"/>
  <c r="H147" i="5"/>
  <c r="H143" i="5"/>
  <c r="H139" i="5"/>
  <c r="H135" i="5"/>
  <c r="H131" i="5"/>
  <c r="H127" i="5"/>
  <c r="H123" i="5"/>
  <c r="H119" i="5"/>
  <c r="H115" i="5"/>
  <c r="H111" i="5"/>
  <c r="H107" i="5"/>
  <c r="H103" i="5"/>
  <c r="H99" i="5"/>
  <c r="H95" i="5"/>
  <c r="H91" i="5"/>
  <c r="H87" i="5"/>
  <c r="H83" i="5"/>
  <c r="H79" i="5"/>
  <c r="H75" i="5"/>
  <c r="H71" i="5"/>
  <c r="H67" i="5"/>
  <c r="H63" i="5"/>
  <c r="H59" i="5"/>
  <c r="H55" i="5"/>
  <c r="H51" i="5"/>
  <c r="H47" i="5"/>
  <c r="H43" i="5"/>
  <c r="H39" i="5"/>
  <c r="H35" i="5"/>
  <c r="H1031" i="5"/>
  <c r="H1007" i="5"/>
  <c r="H990" i="5"/>
  <c r="H970" i="5"/>
  <c r="H954" i="5"/>
  <c r="H942" i="5"/>
  <c r="H927" i="5"/>
  <c r="H911" i="5"/>
  <c r="H899" i="5"/>
  <c r="H885" i="5"/>
  <c r="H869" i="5"/>
  <c r="H857" i="5"/>
  <c r="H842" i="5"/>
  <c r="H826" i="5"/>
  <c r="H814" i="5"/>
  <c r="H799" i="5"/>
  <c r="H783" i="5"/>
  <c r="H771" i="5"/>
  <c r="H757" i="5"/>
  <c r="H741" i="5"/>
  <c r="H729" i="5"/>
  <c r="H714" i="5"/>
  <c r="H698" i="5"/>
  <c r="H690" i="5"/>
  <c r="H683" i="5"/>
  <c r="H675" i="5"/>
  <c r="H668" i="5"/>
  <c r="H662" i="5"/>
  <c r="H654" i="5"/>
  <c r="H983" i="5"/>
  <c r="H922" i="5"/>
  <c r="H867" i="5"/>
  <c r="H810" i="5"/>
  <c r="H751" i="5"/>
  <c r="H697" i="5"/>
  <c r="H667" i="5"/>
  <c r="H646" i="5"/>
  <c r="H631" i="5"/>
  <c r="H616" i="5"/>
  <c r="H603" i="5"/>
  <c r="H588" i="5"/>
  <c r="H574" i="5"/>
  <c r="H560" i="5"/>
  <c r="H546" i="5"/>
  <c r="H531" i="5"/>
  <c r="H518" i="5"/>
  <c r="H503" i="5"/>
  <c r="H488" i="5"/>
  <c r="H475" i="5"/>
  <c r="H460" i="5"/>
  <c r="H446" i="5"/>
  <c r="H432" i="5"/>
  <c r="H418" i="5"/>
  <c r="H403" i="5"/>
  <c r="H392" i="5"/>
  <c r="H382" i="5"/>
  <c r="H371" i="5"/>
  <c r="H360" i="5"/>
  <c r="H350" i="5"/>
  <c r="H339" i="5"/>
  <c r="H328" i="5"/>
  <c r="H318" i="5"/>
  <c r="H307" i="5"/>
  <c r="H296" i="5"/>
  <c r="H286" i="5"/>
  <c r="H279" i="5"/>
  <c r="H271" i="5"/>
  <c r="H264" i="5"/>
  <c r="H258" i="5"/>
  <c r="H250" i="5"/>
  <c r="H245" i="5"/>
  <c r="H240" i="5"/>
  <c r="H234" i="5"/>
  <c r="H229" i="5"/>
  <c r="H224" i="5"/>
  <c r="H218" i="5"/>
  <c r="H213" i="5"/>
  <c r="H208" i="5"/>
  <c r="H202" i="5"/>
  <c r="H197" i="5"/>
  <c r="H192" i="5"/>
  <c r="H186" i="5"/>
  <c r="H181" i="5"/>
  <c r="H176" i="5"/>
  <c r="H170" i="5"/>
  <c r="H165" i="5"/>
  <c r="H160" i="5"/>
  <c r="H154" i="5"/>
  <c r="H149" i="5"/>
  <c r="H144" i="5"/>
  <c r="H138" i="5"/>
  <c r="H133" i="5"/>
  <c r="H128" i="5"/>
  <c r="H122" i="5"/>
  <c r="H117" i="5"/>
  <c r="H112" i="5"/>
  <c r="H106" i="5"/>
  <c r="H101" i="5"/>
  <c r="H96" i="5"/>
  <c r="H90" i="5"/>
  <c r="H85" i="5"/>
  <c r="H80" i="5"/>
  <c r="H74" i="5"/>
  <c r="H69" i="5"/>
  <c r="H64" i="5"/>
  <c r="H58" i="5"/>
  <c r="H53" i="5"/>
  <c r="H48" i="5"/>
  <c r="H42" i="5"/>
  <c r="H37" i="5"/>
  <c r="H32" i="5"/>
  <c r="H372" i="5"/>
  <c r="H259" i="5"/>
  <c r="H246" i="5"/>
  <c r="H236" i="5"/>
  <c r="H225" i="5"/>
  <c r="H214" i="5"/>
  <c r="H204" i="5"/>
  <c r="H193" i="5"/>
  <c r="H182" i="5"/>
  <c r="H172" i="5"/>
  <c r="H161" i="5"/>
  <c r="H150" i="5"/>
  <c r="H140" i="5"/>
  <c r="H129" i="5"/>
  <c r="H118" i="5"/>
  <c r="H108" i="5"/>
  <c r="H92" i="5"/>
  <c r="H81" i="5"/>
  <c r="H70" i="5"/>
  <c r="H60" i="5"/>
  <c r="H49" i="5"/>
  <c r="H38" i="5"/>
  <c r="H965" i="5"/>
  <c r="H910" i="5"/>
  <c r="H853" i="5"/>
  <c r="H794" i="5"/>
  <c r="H739" i="5"/>
  <c r="H688" i="5"/>
  <c r="H659" i="5"/>
  <c r="H640" i="5"/>
  <c r="H626" i="5"/>
  <c r="H611" i="5"/>
  <c r="H598" i="5"/>
  <c r="H583" i="5"/>
  <c r="H568" i="5"/>
  <c r="H555" i="5"/>
  <c r="H540" i="5"/>
  <c r="H526" i="5"/>
  <c r="H512" i="5"/>
  <c r="H498" i="5"/>
  <c r="H483" i="5"/>
  <c r="H470" i="5"/>
  <c r="H455" i="5"/>
  <c r="H440" i="5"/>
  <c r="H427" i="5"/>
  <c r="H412" i="5"/>
  <c r="H399" i="5"/>
  <c r="H388" i="5"/>
  <c r="H378" i="5"/>
  <c r="H367" i="5"/>
  <c r="H356" i="5"/>
  <c r="H346" i="5"/>
  <c r="H335" i="5"/>
  <c r="H324" i="5"/>
  <c r="H314" i="5"/>
  <c r="H303" i="5"/>
  <c r="H292" i="5"/>
  <c r="H284" i="5"/>
  <c r="H276" i="5"/>
  <c r="H270" i="5"/>
  <c r="H263" i="5"/>
  <c r="H255" i="5"/>
  <c r="H249" i="5"/>
  <c r="H244" i="5"/>
  <c r="H238" i="5"/>
  <c r="H233" i="5"/>
  <c r="H228" i="5"/>
  <c r="H222" i="5"/>
  <c r="H217" i="5"/>
  <c r="H212" i="5"/>
  <c r="H206" i="5"/>
  <c r="H201" i="5"/>
  <c r="H196" i="5"/>
  <c r="H190" i="5"/>
  <c r="H185" i="5"/>
  <c r="H180" i="5"/>
  <c r="H174" i="5"/>
  <c r="H169" i="5"/>
  <c r="H164" i="5"/>
  <c r="H158" i="5"/>
  <c r="H153" i="5"/>
  <c r="H148" i="5"/>
  <c r="H142" i="5"/>
  <c r="H137" i="5"/>
  <c r="H132" i="5"/>
  <c r="H126" i="5"/>
  <c r="H121" i="5"/>
  <c r="H116" i="5"/>
  <c r="H110" i="5"/>
  <c r="H105" i="5"/>
  <c r="H100" i="5"/>
  <c r="H94" i="5"/>
  <c r="H89" i="5"/>
  <c r="H84" i="5"/>
  <c r="H78" i="5"/>
  <c r="H73" i="5"/>
  <c r="H68" i="5"/>
  <c r="H62" i="5"/>
  <c r="H57" i="5"/>
  <c r="H52" i="5"/>
  <c r="H46" i="5"/>
  <c r="H41" i="5"/>
  <c r="H36" i="5"/>
  <c r="H1023" i="5"/>
  <c r="H953" i="5"/>
  <c r="H895" i="5"/>
  <c r="H837" i="5"/>
  <c r="H782" i="5"/>
  <c r="H725" i="5"/>
  <c r="H680" i="5"/>
  <c r="H652" i="5"/>
  <c r="H638" i="5"/>
  <c r="H624" i="5"/>
  <c r="H610" i="5"/>
  <c r="H595" i="5"/>
  <c r="H582" i="5"/>
  <c r="H567" i="5"/>
  <c r="H552" i="5"/>
  <c r="H539" i="5"/>
  <c r="H524" i="5"/>
  <c r="H510" i="5"/>
  <c r="H496" i="5"/>
  <c r="H482" i="5"/>
  <c r="H467" i="5"/>
  <c r="H454" i="5"/>
  <c r="H439" i="5"/>
  <c r="H424" i="5"/>
  <c r="H411" i="5"/>
  <c r="H398" i="5"/>
  <c r="H387" i="5"/>
  <c r="H376" i="5"/>
  <c r="H366" i="5"/>
  <c r="H355" i="5"/>
  <c r="H344" i="5"/>
  <c r="H334" i="5"/>
  <c r="H323" i="5"/>
  <c r="H312" i="5"/>
  <c r="H302" i="5"/>
  <c r="H291" i="5"/>
  <c r="H282" i="5"/>
  <c r="H275" i="5"/>
  <c r="H268" i="5"/>
  <c r="H260" i="5"/>
  <c r="H254" i="5"/>
  <c r="H248" i="5"/>
  <c r="H242" i="5"/>
  <c r="H237" i="5"/>
  <c r="H232" i="5"/>
  <c r="H226" i="5"/>
  <c r="H221" i="5"/>
  <c r="H216" i="5"/>
  <c r="H210" i="5"/>
  <c r="H205" i="5"/>
  <c r="H200" i="5"/>
  <c r="H194" i="5"/>
  <c r="H189" i="5"/>
  <c r="H184" i="5"/>
  <c r="H178" i="5"/>
  <c r="H173" i="5"/>
  <c r="H168" i="5"/>
  <c r="H162" i="5"/>
  <c r="H157" i="5"/>
  <c r="H152" i="5"/>
  <c r="H146" i="5"/>
  <c r="H141" i="5"/>
  <c r="H136" i="5"/>
  <c r="H130" i="5"/>
  <c r="H125" i="5"/>
  <c r="H120" i="5"/>
  <c r="H114" i="5"/>
  <c r="H109" i="5"/>
  <c r="H104" i="5"/>
  <c r="H98" i="5"/>
  <c r="H93" i="5"/>
  <c r="H88" i="5"/>
  <c r="H82" i="5"/>
  <c r="H77" i="5"/>
  <c r="H72" i="5"/>
  <c r="H66" i="5"/>
  <c r="H61" i="5"/>
  <c r="H56" i="5"/>
  <c r="H50" i="5"/>
  <c r="H45" i="5"/>
  <c r="H40" i="5"/>
  <c r="H34" i="5"/>
  <c r="H1006" i="5"/>
  <c r="H938" i="5"/>
  <c r="H879" i="5"/>
  <c r="H825" i="5"/>
  <c r="H767" i="5"/>
  <c r="H709" i="5"/>
  <c r="H674" i="5"/>
  <c r="H647" i="5"/>
  <c r="H632" i="5"/>
  <c r="H619" i="5"/>
  <c r="H604" i="5"/>
  <c r="H590" i="5"/>
  <c r="H576" i="5"/>
  <c r="H562" i="5"/>
  <c r="H547" i="5"/>
  <c r="H534" i="5"/>
  <c r="H519" i="5"/>
  <c r="H504" i="5"/>
  <c r="H491" i="5"/>
  <c r="H476" i="5"/>
  <c r="H462" i="5"/>
  <c r="H448" i="5"/>
  <c r="H434" i="5"/>
  <c r="H419" i="5"/>
  <c r="H406" i="5"/>
  <c r="H394" i="5"/>
  <c r="H383" i="5"/>
  <c r="H362" i="5"/>
  <c r="H351" i="5"/>
  <c r="H340" i="5"/>
  <c r="H330" i="5"/>
  <c r="H319" i="5"/>
  <c r="H308" i="5"/>
  <c r="H298" i="5"/>
  <c r="H287" i="5"/>
  <c r="H280" i="5"/>
  <c r="H274" i="5"/>
  <c r="H266" i="5"/>
  <c r="H252" i="5"/>
  <c r="H241" i="5"/>
  <c r="H230" i="5"/>
  <c r="H220" i="5"/>
  <c r="H209" i="5"/>
  <c r="H198" i="5"/>
  <c r="H188" i="5"/>
  <c r="H177" i="5"/>
  <c r="H166" i="5"/>
  <c r="H156" i="5"/>
  <c r="H145" i="5"/>
  <c r="H134" i="5"/>
  <c r="H124" i="5"/>
  <c r="H113" i="5"/>
  <c r="H102" i="5"/>
  <c r="H97" i="5"/>
  <c r="H86" i="5"/>
  <c r="H76" i="5"/>
  <c r="H65" i="5"/>
  <c r="H54" i="5"/>
  <c r="H44" i="5"/>
  <c r="H33" i="5"/>
  <c r="H31" i="5"/>
  <c r="F75" i="7" l="1"/>
  <c r="X62" i="7" l="1"/>
  <c r="AA62" i="7"/>
  <c r="AB62" i="7" s="1"/>
  <c r="AC62" i="7" s="1"/>
  <c r="AA7" i="7"/>
  <c r="L54" i="7"/>
  <c r="K54" i="7"/>
  <c r="J54" i="7"/>
  <c r="I54" i="7"/>
  <c r="H54" i="7"/>
  <c r="G55" i="7"/>
  <c r="G54" i="7" s="1"/>
  <c r="L49" i="7"/>
  <c r="K49" i="7"/>
  <c r="J49" i="7"/>
  <c r="I49" i="7"/>
  <c r="H49" i="7"/>
  <c r="L28" i="7"/>
  <c r="K28" i="7"/>
  <c r="J28" i="7"/>
  <c r="I28" i="7"/>
  <c r="H28" i="7"/>
  <c r="G33" i="7"/>
  <c r="G32" i="7"/>
  <c r="G31" i="7"/>
  <c r="G30" i="7"/>
  <c r="G29" i="7"/>
  <c r="AD62" i="7" l="1"/>
  <c r="AE62" i="7" s="1"/>
  <c r="G28" i="7"/>
  <c r="G20" i="7" l="1"/>
  <c r="G19" i="7"/>
  <c r="J19" i="7" l="1"/>
  <c r="I19" i="7"/>
  <c r="L19" i="7"/>
  <c r="H19" i="7"/>
  <c r="K19" i="7"/>
  <c r="H17" i="7" l="1"/>
  <c r="L17" i="7"/>
  <c r="K17" i="7"/>
  <c r="I17" i="7"/>
  <c r="J17" i="7"/>
  <c r="AA17" i="7"/>
  <c r="L40" i="7" l="1"/>
  <c r="K41" i="7"/>
  <c r="K37" i="7"/>
  <c r="J38" i="7"/>
  <c r="L36" i="7"/>
  <c r="I38" i="7"/>
  <c r="H40" i="7"/>
  <c r="H36" i="7"/>
  <c r="L41" i="7"/>
  <c r="K38" i="7"/>
  <c r="K36" i="7"/>
  <c r="H37" i="7"/>
  <c r="L39" i="7"/>
  <c r="K40" i="7"/>
  <c r="J41" i="7"/>
  <c r="J37" i="7"/>
  <c r="I41" i="7"/>
  <c r="I37" i="7"/>
  <c r="H39" i="7"/>
  <c r="I39" i="7"/>
  <c r="L38" i="7"/>
  <c r="K39" i="7"/>
  <c r="J40" i="7"/>
  <c r="J36" i="7"/>
  <c r="I40" i="7"/>
  <c r="I36" i="7"/>
  <c r="H38" i="7"/>
  <c r="L37" i="7"/>
  <c r="J39" i="7"/>
  <c r="H41" i="7"/>
  <c r="K72" i="7"/>
  <c r="I71" i="7"/>
  <c r="H71" i="7"/>
  <c r="I70" i="7"/>
  <c r="J72" i="7"/>
  <c r="J71" i="7"/>
  <c r="L70" i="7"/>
  <c r="H70" i="7"/>
  <c r="I72" i="7"/>
  <c r="K71" i="7"/>
  <c r="K70" i="7"/>
  <c r="L72" i="7"/>
  <c r="H72" i="7"/>
  <c r="L71" i="7"/>
  <c r="J70" i="7"/>
  <c r="J62" i="7"/>
  <c r="I58" i="7"/>
  <c r="J61" i="7"/>
  <c r="H60" i="7"/>
  <c r="I63" i="7"/>
  <c r="H63" i="7"/>
  <c r="L62" i="7"/>
  <c r="K61" i="7"/>
  <c r="K60" i="7"/>
  <c r="K59" i="7"/>
  <c r="K58" i="7"/>
  <c r="H59" i="7"/>
  <c r="J63" i="7"/>
  <c r="I62" i="7"/>
  <c r="H62" i="7"/>
  <c r="L61" i="7"/>
  <c r="L60" i="7"/>
  <c r="L59" i="7"/>
  <c r="L58" i="7"/>
  <c r="H58" i="7"/>
  <c r="K63" i="7"/>
  <c r="I61" i="7"/>
  <c r="I60" i="7"/>
  <c r="I59" i="7"/>
  <c r="H61" i="7"/>
  <c r="L63" i="7"/>
  <c r="K62" i="7"/>
  <c r="J60" i="7"/>
  <c r="J59" i="7"/>
  <c r="J58" i="7"/>
  <c r="U41" i="7"/>
  <c r="AA19" i="7"/>
  <c r="U38" i="7"/>
  <c r="S36" i="7"/>
  <c r="T39" i="7"/>
  <c r="R37" i="7"/>
  <c r="S40" i="7"/>
  <c r="Q38" i="7"/>
  <c r="R41" i="7"/>
  <c r="T36" i="7"/>
  <c r="S37" i="7"/>
  <c r="R38" i="7"/>
  <c r="Q39" i="7"/>
  <c r="U39" i="7"/>
  <c r="T40" i="7"/>
  <c r="S41" i="7"/>
  <c r="Q36" i="7"/>
  <c r="U36" i="7"/>
  <c r="T37" i="7"/>
  <c r="S38" i="7"/>
  <c r="R39" i="7"/>
  <c r="Q40" i="7"/>
  <c r="U40" i="7"/>
  <c r="T41" i="7"/>
  <c r="R36" i="7"/>
  <c r="Q37" i="7"/>
  <c r="U37" i="7"/>
  <c r="T38" i="7"/>
  <c r="S39" i="7"/>
  <c r="R40" i="7"/>
  <c r="Q41" i="7"/>
  <c r="X17" i="7"/>
  <c r="X18" i="7" s="1"/>
  <c r="U22" i="7"/>
  <c r="T20" i="7"/>
  <c r="V20" i="7" s="1"/>
  <c r="T19" i="7"/>
  <c r="V19" i="7" s="1"/>
  <c r="T18" i="7"/>
  <c r="V18" i="7" s="1"/>
  <c r="T17" i="7"/>
  <c r="V17" i="7" s="1"/>
  <c r="J69" i="7" l="1"/>
  <c r="K69" i="7"/>
  <c r="L69" i="7"/>
  <c r="I69" i="7"/>
  <c r="H69" i="7"/>
  <c r="H57" i="7"/>
  <c r="L57" i="7"/>
  <c r="K57" i="7"/>
  <c r="J57" i="7"/>
  <c r="I57" i="7"/>
  <c r="L43" i="7"/>
  <c r="V22" i="7"/>
  <c r="L25" i="7"/>
  <c r="K25" i="7"/>
  <c r="J25" i="7"/>
  <c r="I25" i="7"/>
  <c r="H25" i="7"/>
  <c r="G25" i="7"/>
  <c r="J43" i="7" l="1"/>
  <c r="K43" i="7"/>
  <c r="H43" i="7"/>
  <c r="I43" i="7"/>
  <c r="D61" i="7"/>
  <c r="D62" i="7"/>
  <c r="G62" i="7" s="1"/>
  <c r="D59" i="7"/>
  <c r="G59" i="7" s="1"/>
  <c r="D63" i="7"/>
  <c r="G63" i="7" s="1"/>
  <c r="D60" i="7"/>
  <c r="D58" i="7"/>
  <c r="G58" i="7" s="1"/>
  <c r="L35" i="7"/>
  <c r="I35" i="7"/>
  <c r="H35" i="7"/>
  <c r="J35" i="7"/>
  <c r="P44" i="7"/>
  <c r="D44" i="7" s="1"/>
  <c r="G44" i="7" s="1"/>
  <c r="P45" i="7"/>
  <c r="D45" i="7" s="1"/>
  <c r="G45" i="7" s="1"/>
  <c r="K35" i="7"/>
  <c r="P38" i="7"/>
  <c r="P41" i="7"/>
  <c r="D41" i="7" s="1"/>
  <c r="G41" i="7" s="1"/>
  <c r="P37" i="7"/>
  <c r="P40" i="7"/>
  <c r="P36" i="7"/>
  <c r="P39" i="7"/>
  <c r="G24" i="7"/>
  <c r="G26" i="7"/>
  <c r="G43" i="7" l="1"/>
  <c r="J23" i="7"/>
  <c r="J22" i="7" s="1"/>
  <c r="I23" i="7"/>
  <c r="I22" i="7" s="1"/>
  <c r="L23" i="7"/>
  <c r="L22" i="7" s="1"/>
  <c r="H23" i="7"/>
  <c r="H22" i="7" s="1"/>
  <c r="K23" i="7"/>
  <c r="K22" i="7" s="1"/>
  <c r="G23" i="7"/>
  <c r="G22" i="7" s="1"/>
  <c r="D36" i="7"/>
  <c r="G36" i="7" s="1"/>
  <c r="D39" i="7"/>
  <c r="G39" i="7" s="1"/>
  <c r="D40" i="7"/>
  <c r="G40" i="7" s="1"/>
  <c r="D38" i="7"/>
  <c r="G38" i="7" s="1"/>
  <c r="D37" i="7"/>
  <c r="G37" i="7" s="1"/>
  <c r="G61" i="7"/>
  <c r="G60" i="7"/>
  <c r="G50" i="7"/>
  <c r="G52" i="7"/>
  <c r="G51" i="7"/>
  <c r="G18" i="7"/>
  <c r="G17" i="7" s="1"/>
  <c r="I14" i="5" l="1"/>
  <c r="H79" i="7"/>
  <c r="I18" i="5" s="1"/>
  <c r="G57" i="7"/>
  <c r="G49" i="7"/>
  <c r="G35" i="7"/>
  <c r="G13" i="7"/>
  <c r="H11" i="7"/>
  <c r="I32" i="5" l="1"/>
  <c r="I1029" i="5"/>
  <c r="I1028" i="5"/>
  <c r="I1026" i="5"/>
  <c r="I1025" i="5"/>
  <c r="I1024" i="5"/>
  <c r="I1017" i="5"/>
  <c r="I1016" i="5"/>
  <c r="I1015" i="5"/>
  <c r="I1008" i="5"/>
  <c r="I1006" i="5"/>
  <c r="I1004" i="5"/>
  <c r="I1003" i="5"/>
  <c r="I1000" i="5"/>
  <c r="I998" i="5"/>
  <c r="I995" i="5"/>
  <c r="I989" i="5"/>
  <c r="I985" i="5"/>
  <c r="I980" i="5"/>
  <c r="I977" i="5"/>
  <c r="I971" i="5"/>
  <c r="I969" i="5"/>
  <c r="I1027" i="5"/>
  <c r="I1023" i="5"/>
  <c r="I1012" i="5"/>
  <c r="I1011" i="5"/>
  <c r="I1010" i="5"/>
  <c r="I1007" i="5"/>
  <c r="I1005" i="5"/>
  <c r="I1002" i="5"/>
  <c r="I1001" i="5"/>
  <c r="I999" i="5"/>
  <c r="I993" i="5"/>
  <c r="I992" i="5"/>
  <c r="I990" i="5"/>
  <c r="I991" i="5"/>
  <c r="I983" i="5"/>
  <c r="I979" i="5"/>
  <c r="I968" i="5"/>
  <c r="I1031" i="5"/>
  <c r="I1021" i="5"/>
  <c r="I1013" i="5"/>
  <c r="I997" i="5"/>
  <c r="I994" i="5"/>
  <c r="I988" i="5"/>
  <c r="I978" i="5"/>
  <c r="I967" i="5"/>
  <c r="I960" i="5"/>
  <c r="I958" i="5"/>
  <c r="I955" i="5"/>
  <c r="I953" i="5"/>
  <c r="I949" i="5"/>
  <c r="I945" i="5"/>
  <c r="I943" i="5"/>
  <c r="I938" i="5"/>
  <c r="I936" i="5"/>
  <c r="I931" i="5"/>
  <c r="I1030" i="5"/>
  <c r="I981" i="5"/>
  <c r="I987" i="5"/>
  <c r="I973" i="5"/>
  <c r="I972" i="5"/>
  <c r="I965" i="5"/>
  <c r="I963" i="5"/>
  <c r="I961" i="5"/>
  <c r="I959" i="5"/>
  <c r="I956" i="5"/>
  <c r="I951" i="5"/>
  <c r="I948" i="5"/>
  <c r="I944" i="5"/>
  <c r="I942" i="5"/>
  <c r="I934" i="5"/>
  <c r="I932" i="5"/>
  <c r="I927" i="5"/>
  <c r="I924" i="5"/>
  <c r="I917" i="5"/>
  <c r="I916" i="5"/>
  <c r="I911" i="5"/>
  <c r="I910" i="5"/>
  <c r="I908" i="5"/>
  <c r="I907" i="5"/>
  <c r="I901" i="5"/>
  <c r="I1022" i="5"/>
  <c r="I984" i="5"/>
  <c r="I976" i="5"/>
  <c r="I970" i="5"/>
  <c r="I964" i="5"/>
  <c r="I947" i="5"/>
  <c r="I941" i="5"/>
  <c r="I937" i="5"/>
  <c r="I926" i="5"/>
  <c r="I919" i="5"/>
  <c r="I903" i="5"/>
  <c r="I902" i="5"/>
  <c r="I900" i="5"/>
  <c r="I898" i="5"/>
  <c r="I899" i="5"/>
  <c r="I896" i="5"/>
  <c r="I892" i="5"/>
  <c r="I884" i="5"/>
  <c r="I881" i="5"/>
  <c r="I880" i="5"/>
  <c r="I874" i="5"/>
  <c r="I869" i="5"/>
  <c r="I868" i="5"/>
  <c r="I863" i="5"/>
  <c r="I860" i="5"/>
  <c r="I858" i="5"/>
  <c r="I854" i="5"/>
  <c r="I852" i="5"/>
  <c r="I849" i="5"/>
  <c r="I842" i="5"/>
  <c r="I832" i="5"/>
  <c r="I827" i="5"/>
  <c r="I826" i="5"/>
  <c r="I823" i="5"/>
  <c r="I1018" i="5"/>
  <c r="I1009" i="5"/>
  <c r="I996" i="5"/>
  <c r="I957" i="5"/>
  <c r="I954" i="5"/>
  <c r="I946" i="5"/>
  <c r="I935" i="5"/>
  <c r="I933" i="5"/>
  <c r="I923" i="5"/>
  <c r="I913" i="5"/>
  <c r="I906" i="5"/>
  <c r="I894" i="5"/>
  <c r="I893" i="5"/>
  <c r="I890" i="5"/>
  <c r="I882" i="5"/>
  <c r="I867" i="5"/>
  <c r="I864" i="5"/>
  <c r="I861" i="5"/>
  <c r="I857" i="5"/>
  <c r="I851" i="5"/>
  <c r="I848" i="5"/>
  <c r="I838" i="5"/>
  <c r="I831" i="5"/>
  <c r="I829" i="5"/>
  <c r="I824" i="5"/>
  <c r="I940" i="5"/>
  <c r="I928" i="5"/>
  <c r="I912" i="5"/>
  <c r="I895" i="5"/>
  <c r="I887" i="5"/>
  <c r="I879" i="5"/>
  <c r="I871" i="5"/>
  <c r="I845" i="5"/>
  <c r="I839" i="5"/>
  <c r="I836" i="5"/>
  <c r="I828" i="5"/>
  <c r="I825" i="5"/>
  <c r="I822" i="5"/>
  <c r="I814" i="5"/>
  <c r="I812" i="5"/>
  <c r="I806" i="5"/>
  <c r="I799" i="5"/>
  <c r="I966" i="5"/>
  <c r="I952" i="5"/>
  <c r="I950" i="5"/>
  <c r="I929" i="5"/>
  <c r="I925" i="5"/>
  <c r="I920" i="5"/>
  <c r="I918" i="5"/>
  <c r="I914" i="5"/>
  <c r="I897" i="5"/>
  <c r="I888" i="5"/>
  <c r="I885" i="5"/>
  <c r="I877" i="5"/>
  <c r="I876" i="5"/>
  <c r="I872" i="5"/>
  <c r="I870" i="5"/>
  <c r="I855" i="5"/>
  <c r="I850" i="5"/>
  <c r="I840" i="5"/>
  <c r="I837" i="5"/>
  <c r="I834" i="5"/>
  <c r="I821" i="5"/>
  <c r="I819" i="5"/>
  <c r="I811" i="5"/>
  <c r="I807" i="5"/>
  <c r="I805" i="5"/>
  <c r="I803" i="5"/>
  <c r="I797" i="5"/>
  <c r="I790" i="5"/>
  <c r="I788" i="5"/>
  <c r="I786" i="5"/>
  <c r="I785" i="5"/>
  <c r="I783" i="5"/>
  <c r="I782" i="5"/>
  <c r="I777" i="5"/>
  <c r="I769" i="5"/>
  <c r="I766" i="5"/>
  <c r="I761" i="5"/>
  <c r="I759" i="5"/>
  <c r="I754" i="5"/>
  <c r="I1014" i="5"/>
  <c r="I975" i="5"/>
  <c r="I962" i="5"/>
  <c r="I883" i="5"/>
  <c r="I873" i="5"/>
  <c r="I866" i="5"/>
  <c r="I835" i="5"/>
  <c r="I986" i="5"/>
  <c r="I974" i="5"/>
  <c r="I939" i="5"/>
  <c r="I889" i="5"/>
  <c r="I847" i="5"/>
  <c r="I844" i="5"/>
  <c r="I841" i="5"/>
  <c r="I816" i="5"/>
  <c r="I813" i="5"/>
  <c r="I808" i="5"/>
  <c r="I802" i="5"/>
  <c r="I800" i="5"/>
  <c r="I776" i="5"/>
  <c r="I774" i="5"/>
  <c r="I771" i="5"/>
  <c r="I767" i="5"/>
  <c r="I763" i="5"/>
  <c r="I758" i="5"/>
  <c r="I757" i="5"/>
  <c r="I756" i="5"/>
  <c r="I750" i="5"/>
  <c r="I748" i="5"/>
  <c r="I746" i="5"/>
  <c r="I734" i="5"/>
  <c r="I733" i="5"/>
  <c r="I719" i="5"/>
  <c r="I701" i="5"/>
  <c r="I704" i="5"/>
  <c r="I695" i="5"/>
  <c r="I693" i="5"/>
  <c r="I688" i="5"/>
  <c r="I682" i="5"/>
  <c r="I678" i="5"/>
  <c r="I677" i="5"/>
  <c r="I675" i="5"/>
  <c r="I672" i="5"/>
  <c r="I667" i="5"/>
  <c r="I664" i="5"/>
  <c r="I663" i="5"/>
  <c r="I656" i="5"/>
  <c r="I647" i="5"/>
  <c r="I648" i="5"/>
  <c r="I645" i="5"/>
  <c r="I644" i="5"/>
  <c r="I636" i="5"/>
  <c r="I631" i="5"/>
  <c r="I629" i="5"/>
  <c r="I627" i="5"/>
  <c r="I623" i="5"/>
  <c r="I620" i="5"/>
  <c r="I617" i="5"/>
  <c r="I616" i="5"/>
  <c r="I611" i="5"/>
  <c r="I607" i="5"/>
  <c r="I606" i="5"/>
  <c r="I597" i="5"/>
  <c r="I601" i="5"/>
  <c r="I586" i="5"/>
  <c r="I582" i="5"/>
  <c r="I585" i="5"/>
  <c r="I581" i="5"/>
  <c r="I579" i="5"/>
  <c r="I577" i="5"/>
  <c r="I576" i="5"/>
  <c r="I574" i="5"/>
  <c r="I572" i="5"/>
  <c r="I570" i="5"/>
  <c r="I563" i="5"/>
  <c r="I560" i="5"/>
  <c r="I1019" i="5"/>
  <c r="I930" i="5"/>
  <c r="I922" i="5"/>
  <c r="I905" i="5"/>
  <c r="I891" i="5"/>
  <c r="I865" i="5"/>
  <c r="I853" i="5"/>
  <c r="I820" i="5"/>
  <c r="I817" i="5"/>
  <c r="I810" i="5"/>
  <c r="I784" i="5"/>
  <c r="I751" i="5"/>
  <c r="I742" i="5"/>
  <c r="I741" i="5"/>
  <c r="I739" i="5"/>
  <c r="I735" i="5"/>
  <c r="I728" i="5"/>
  <c r="I723" i="5"/>
  <c r="I721" i="5"/>
  <c r="I716" i="5"/>
  <c r="I715" i="5"/>
  <c r="I712" i="5"/>
  <c r="I696" i="5"/>
  <c r="I698" i="5"/>
  <c r="I691" i="5"/>
  <c r="I689" i="5"/>
  <c r="I680" i="5"/>
  <c r="I679" i="5"/>
  <c r="I673" i="5"/>
  <c r="I668" i="5"/>
  <c r="I659" i="5"/>
  <c r="I658" i="5"/>
  <c r="I657" i="5"/>
  <c r="I653" i="5"/>
  <c r="I630" i="5"/>
  <c r="I626" i="5"/>
  <c r="I613" i="5"/>
  <c r="I609" i="5"/>
  <c r="I604" i="5"/>
  <c r="I599" i="5"/>
  <c r="I598" i="5"/>
  <c r="I595" i="5"/>
  <c r="I590" i="5"/>
  <c r="I588" i="5"/>
  <c r="I568" i="5"/>
  <c r="I566" i="5"/>
  <c r="I564" i="5"/>
  <c r="I553" i="5"/>
  <c r="I552" i="5"/>
  <c r="I550" i="5"/>
  <c r="I531" i="5"/>
  <c r="I528" i="5"/>
  <c r="I527" i="5"/>
  <c r="I522" i="5"/>
  <c r="I521" i="5"/>
  <c r="I516" i="5"/>
  <c r="I513" i="5"/>
  <c r="I510" i="5"/>
  <c r="I505" i="5"/>
  <c r="I501" i="5"/>
  <c r="I500" i="5"/>
  <c r="I491" i="5"/>
  <c r="I1020" i="5"/>
  <c r="I921" i="5"/>
  <c r="I904" i="5"/>
  <c r="I878" i="5"/>
  <c r="I859" i="5"/>
  <c r="I846" i="5"/>
  <c r="I833" i="5"/>
  <c r="I795" i="5"/>
  <c r="I798" i="5"/>
  <c r="I793" i="5"/>
  <c r="I787" i="5"/>
  <c r="I775" i="5"/>
  <c r="I772" i="5"/>
  <c r="I768" i="5"/>
  <c r="I762" i="5"/>
  <c r="I755" i="5"/>
  <c r="I753" i="5"/>
  <c r="I730" i="5"/>
  <c r="I724" i="5"/>
  <c r="I717" i="5"/>
  <c r="I714" i="5"/>
  <c r="I713" i="5"/>
  <c r="I711" i="5"/>
  <c r="I706" i="5"/>
  <c r="I710" i="5"/>
  <c r="I708" i="5"/>
  <c r="I699" i="5"/>
  <c r="I697" i="5"/>
  <c r="I687" i="5"/>
  <c r="I694" i="5"/>
  <c r="I692" i="5"/>
  <c r="I690" i="5"/>
  <c r="I685" i="5"/>
  <c r="I670" i="5"/>
  <c r="I661" i="5"/>
  <c r="I660" i="5"/>
  <c r="I650" i="5"/>
  <c r="I635" i="5"/>
  <c r="I634" i="5"/>
  <c r="I633" i="5"/>
  <c r="I632" i="5"/>
  <c r="I628" i="5"/>
  <c r="I619" i="5"/>
  <c r="I602" i="5"/>
  <c r="I593" i="5"/>
  <c r="I591" i="5"/>
  <c r="I587" i="5"/>
  <c r="I584" i="5"/>
  <c r="I573" i="5"/>
  <c r="I571" i="5"/>
  <c r="I565" i="5"/>
  <c r="I561" i="5"/>
  <c r="I557" i="5"/>
  <c r="I540" i="5"/>
  <c r="I541" i="5"/>
  <c r="I536" i="5"/>
  <c r="I535" i="5"/>
  <c r="I532" i="5"/>
  <c r="I524" i="5"/>
  <c r="I519" i="5"/>
  <c r="I517" i="5"/>
  <c r="I515" i="5"/>
  <c r="I509" i="5"/>
  <c r="I508" i="5"/>
  <c r="I506" i="5"/>
  <c r="I504" i="5"/>
  <c r="I502" i="5"/>
  <c r="I497" i="5"/>
  <c r="I495" i="5"/>
  <c r="I496" i="5"/>
  <c r="I494" i="5"/>
  <c r="I490" i="5"/>
  <c r="I488" i="5"/>
  <c r="I484" i="5"/>
  <c r="I482" i="5"/>
  <c r="I480" i="5"/>
  <c r="I475" i="5"/>
  <c r="I472" i="5"/>
  <c r="I462" i="5"/>
  <c r="I456" i="5"/>
  <c r="I450" i="5"/>
  <c r="I447" i="5"/>
  <c r="I443" i="5"/>
  <c r="I441" i="5"/>
  <c r="I915" i="5"/>
  <c r="I875" i="5"/>
  <c r="I862" i="5"/>
  <c r="I815" i="5"/>
  <c r="I789" i="5"/>
  <c r="I778" i="5"/>
  <c r="I770" i="5"/>
  <c r="I745" i="5"/>
  <c r="I727" i="5"/>
  <c r="I703" i="5"/>
  <c r="I686" i="5"/>
  <c r="I674" i="5"/>
  <c r="I662" i="5"/>
  <c r="I654" i="5"/>
  <c r="I646" i="5"/>
  <c r="I637" i="5"/>
  <c r="I624" i="5"/>
  <c r="I622" i="5"/>
  <c r="I615" i="5"/>
  <c r="I600" i="5"/>
  <c r="I596" i="5"/>
  <c r="I589" i="5"/>
  <c r="I559" i="5"/>
  <c r="I558" i="5"/>
  <c r="I547" i="5"/>
  <c r="I546" i="5"/>
  <c r="I542" i="5"/>
  <c r="I539" i="5"/>
  <c r="I538" i="5"/>
  <c r="I534" i="5"/>
  <c r="I533" i="5"/>
  <c r="I514" i="5"/>
  <c r="I499" i="5"/>
  <c r="I498" i="5"/>
  <c r="I486" i="5"/>
  <c r="I483" i="5"/>
  <c r="I467" i="5"/>
  <c r="I464" i="5"/>
  <c r="I463" i="5"/>
  <c r="I461" i="5"/>
  <c r="I459" i="5"/>
  <c r="I457" i="5"/>
  <c r="I445" i="5"/>
  <c r="I444" i="5"/>
  <c r="I442" i="5"/>
  <c r="I436" i="5"/>
  <c r="I432" i="5"/>
  <c r="I428" i="5"/>
  <c r="I422" i="5"/>
  <c r="I421" i="5"/>
  <c r="I418" i="5"/>
  <c r="I417" i="5"/>
  <c r="I416" i="5"/>
  <c r="I412" i="5"/>
  <c r="I411" i="5"/>
  <c r="I408" i="5"/>
  <c r="I407" i="5"/>
  <c r="I402" i="5"/>
  <c r="I400" i="5"/>
  <c r="I399" i="5"/>
  <c r="I387" i="5"/>
  <c r="I385" i="5"/>
  <c r="I376" i="5"/>
  <c r="I373" i="5"/>
  <c r="I366" i="5"/>
  <c r="I365" i="5"/>
  <c r="I363" i="5"/>
  <c r="I361" i="5"/>
  <c r="I359" i="5"/>
  <c r="I354" i="5"/>
  <c r="I350" i="5"/>
  <c r="I347" i="5"/>
  <c r="I346" i="5"/>
  <c r="I344" i="5"/>
  <c r="I339" i="5"/>
  <c r="I336" i="5"/>
  <c r="I330" i="5"/>
  <c r="I327" i="5"/>
  <c r="I321" i="5"/>
  <c r="I318" i="5"/>
  <c r="I317" i="5"/>
  <c r="I313" i="5"/>
  <c r="I305" i="5"/>
  <c r="I303" i="5"/>
  <c r="I287" i="5"/>
  <c r="I282" i="5"/>
  <c r="I278" i="5"/>
  <c r="I274" i="5"/>
  <c r="I273" i="5"/>
  <c r="I270" i="5"/>
  <c r="I269" i="5"/>
  <c r="I255" i="5"/>
  <c r="I261" i="5"/>
  <c r="I259" i="5"/>
  <c r="I256" i="5"/>
  <c r="I250" i="5"/>
  <c r="I246" i="5"/>
  <c r="I245" i="5"/>
  <c r="I242" i="5"/>
  <c r="I240" i="5"/>
  <c r="I234" i="5"/>
  <c r="I233" i="5"/>
  <c r="I226" i="5"/>
  <c r="I230" i="5"/>
  <c r="I224" i="5"/>
  <c r="I221" i="5"/>
  <c r="I218" i="5"/>
  <c r="I217" i="5"/>
  <c r="I215" i="5"/>
  <c r="I209" i="5"/>
  <c r="I202" i="5"/>
  <c r="I201" i="5"/>
  <c r="I199" i="5"/>
  <c r="I196" i="5"/>
  <c r="I189" i="5"/>
  <c r="I182" i="5"/>
  <c r="I181" i="5"/>
  <c r="I180" i="5"/>
  <c r="I179" i="5"/>
  <c r="I167" i="5"/>
  <c r="I165" i="5"/>
  <c r="I163" i="5"/>
  <c r="I160" i="5"/>
  <c r="I158" i="5"/>
  <c r="I157" i="5"/>
  <c r="I149" i="5"/>
  <c r="I138" i="5"/>
  <c r="I137" i="5"/>
  <c r="I134" i="5"/>
  <c r="I130" i="5"/>
  <c r="I129" i="5"/>
  <c r="I125" i="5"/>
  <c r="I120" i="5"/>
  <c r="I117" i="5"/>
  <c r="I115" i="5"/>
  <c r="I114" i="5"/>
  <c r="I107" i="5"/>
  <c r="I108" i="5"/>
  <c r="I106" i="5"/>
  <c r="I94" i="5"/>
  <c r="I90" i="5"/>
  <c r="I82" i="5"/>
  <c r="I81" i="5"/>
  <c r="I886" i="5"/>
  <c r="I818" i="5"/>
  <c r="I781" i="5"/>
  <c r="I765" i="5"/>
  <c r="I764" i="5"/>
  <c r="I747" i="5"/>
  <c r="I736" i="5"/>
  <c r="I725" i="5"/>
  <c r="I700" i="5"/>
  <c r="I671" i="5"/>
  <c r="I655" i="5"/>
  <c r="I649" i="5"/>
  <c r="I643" i="5"/>
  <c r="I642" i="5"/>
  <c r="I638" i="5"/>
  <c r="I625" i="5"/>
  <c r="I614" i="5"/>
  <c r="I612" i="5"/>
  <c r="I610" i="5"/>
  <c r="I603" i="5"/>
  <c r="I578" i="5"/>
  <c r="I562" i="5"/>
  <c r="I555" i="5"/>
  <c r="I549" i="5"/>
  <c r="I537" i="5"/>
  <c r="I529" i="5"/>
  <c r="I523" i="5"/>
  <c r="I520" i="5"/>
  <c r="I507" i="5"/>
  <c r="I492" i="5"/>
  <c r="I476" i="5"/>
  <c r="I473" i="5"/>
  <c r="I468" i="5"/>
  <c r="I466" i="5"/>
  <c r="I460" i="5"/>
  <c r="I452" i="5"/>
  <c r="I449" i="5"/>
  <c r="I434" i="5"/>
  <c r="I433" i="5"/>
  <c r="I429" i="5"/>
  <c r="I427" i="5"/>
  <c r="I426" i="5"/>
  <c r="I425" i="5"/>
  <c r="I423" i="5"/>
  <c r="I419" i="5"/>
  <c r="I414" i="5"/>
  <c r="I413" i="5"/>
  <c r="I410" i="5"/>
  <c r="I409" i="5"/>
  <c r="I406" i="5"/>
  <c r="I398" i="5"/>
  <c r="I396" i="5"/>
  <c r="I393" i="5"/>
  <c r="I389" i="5"/>
  <c r="I386" i="5"/>
  <c r="I374" i="5"/>
  <c r="I372" i="5"/>
  <c r="I371" i="5"/>
  <c r="I368" i="5"/>
  <c r="I367" i="5"/>
  <c r="I360" i="5"/>
  <c r="I358" i="5"/>
  <c r="I357" i="5"/>
  <c r="I348" i="5"/>
  <c r="I343" i="5"/>
  <c r="I341" i="5"/>
  <c r="I340" i="5"/>
  <c r="I337" i="5"/>
  <c r="I329" i="5"/>
  <c r="I328" i="5"/>
  <c r="I323" i="5"/>
  <c r="I319" i="5"/>
  <c r="I304" i="5"/>
  <c r="I296" i="5"/>
  <c r="I292" i="5"/>
  <c r="I291" i="5"/>
  <c r="I290" i="5"/>
  <c r="I283" i="5"/>
  <c r="I280" i="5"/>
  <c r="I276" i="5"/>
  <c r="I266" i="5"/>
  <c r="I264" i="5"/>
  <c r="I252" i="5"/>
  <c r="I248" i="5"/>
  <c r="I247" i="5"/>
  <c r="I243" i="5"/>
  <c r="I232" i="5"/>
  <c r="I229" i="5"/>
  <c r="I227" i="5"/>
  <c r="I225" i="5"/>
  <c r="I223" i="5"/>
  <c r="I222" i="5"/>
  <c r="I220" i="5"/>
  <c r="I212" i="5"/>
  <c r="I210" i="5"/>
  <c r="I204" i="5"/>
  <c r="I198" i="5"/>
  <c r="I190" i="5"/>
  <c r="I187" i="5"/>
  <c r="I185" i="5"/>
  <c r="I178" i="5"/>
  <c r="I174" i="5"/>
  <c r="I172" i="5"/>
  <c r="I168" i="5"/>
  <c r="I166" i="5"/>
  <c r="I164" i="5"/>
  <c r="I162" i="5"/>
  <c r="I161" i="5"/>
  <c r="I155" i="5"/>
  <c r="I153" i="5"/>
  <c r="I154" i="5"/>
  <c r="I147" i="5"/>
  <c r="I135" i="5"/>
  <c r="I144" i="5"/>
  <c r="I139" i="5"/>
  <c r="I136" i="5"/>
  <c r="I124" i="5"/>
  <c r="I121" i="5"/>
  <c r="I118" i="5"/>
  <c r="I116" i="5"/>
  <c r="I110" i="5"/>
  <c r="I101" i="5"/>
  <c r="I97" i="5"/>
  <c r="I96" i="5"/>
  <c r="I92" i="5"/>
  <c r="I93" i="5"/>
  <c r="I91" i="5"/>
  <c r="I86" i="5"/>
  <c r="I77" i="5"/>
  <c r="I76" i="5"/>
  <c r="I64" i="5"/>
  <c r="I843" i="5"/>
  <c r="I796" i="5"/>
  <c r="I792" i="5"/>
  <c r="I780" i="5"/>
  <c r="I773" i="5"/>
  <c r="I752" i="5"/>
  <c r="I743" i="5"/>
  <c r="I740" i="5"/>
  <c r="I726" i="5"/>
  <c r="I722" i="5"/>
  <c r="I718" i="5"/>
  <c r="I705" i="5"/>
  <c r="I684" i="5"/>
  <c r="I640" i="5"/>
  <c r="I621" i="5"/>
  <c r="I551" i="5"/>
  <c r="I543" i="5"/>
  <c r="I512" i="5"/>
  <c r="I493" i="5"/>
  <c r="I478" i="5"/>
  <c r="I458" i="5"/>
  <c r="I448" i="5"/>
  <c r="I438" i="5"/>
  <c r="I424" i="5"/>
  <c r="I405" i="5"/>
  <c r="I401" i="5"/>
  <c r="I382" i="5"/>
  <c r="I377" i="5"/>
  <c r="I370" i="5"/>
  <c r="I356" i="5"/>
  <c r="I342" i="5"/>
  <c r="I333" i="5"/>
  <c r="I314" i="5"/>
  <c r="I306" i="5"/>
  <c r="I302" i="5"/>
  <c r="I285" i="5"/>
  <c r="I288" i="5"/>
  <c r="I272" i="5"/>
  <c r="I271" i="5"/>
  <c r="I265" i="5"/>
  <c r="I253" i="5"/>
  <c r="I249" i="5"/>
  <c r="I239" i="5"/>
  <c r="I214" i="5"/>
  <c r="I211" i="5"/>
  <c r="I208" i="5"/>
  <c r="I207" i="5"/>
  <c r="I197" i="5"/>
  <c r="I188" i="5"/>
  <c r="I171" i="5"/>
  <c r="I156" i="5"/>
  <c r="I150" i="5"/>
  <c r="I145" i="5"/>
  <c r="I146" i="5"/>
  <c r="I143" i="5"/>
  <c r="I132" i="5"/>
  <c r="I126" i="5"/>
  <c r="I112" i="5"/>
  <c r="I109" i="5"/>
  <c r="I105" i="5"/>
  <c r="I102" i="5"/>
  <c r="I95" i="5"/>
  <c r="I73" i="5"/>
  <c r="I65" i="5"/>
  <c r="I48" i="5"/>
  <c r="I35" i="5"/>
  <c r="I38" i="5"/>
  <c r="I33" i="5"/>
  <c r="I605" i="5"/>
  <c r="I580" i="5"/>
  <c r="I511" i="5"/>
  <c r="I485" i="5"/>
  <c r="I481" i="5"/>
  <c r="I471" i="5"/>
  <c r="I455" i="5"/>
  <c r="I420" i="5"/>
  <c r="I395" i="5"/>
  <c r="I388" i="5"/>
  <c r="I378" i="5"/>
  <c r="I355" i="5"/>
  <c r="I352" i="5"/>
  <c r="I338" i="5"/>
  <c r="I322" i="5"/>
  <c r="I311" i="5"/>
  <c r="I297" i="5"/>
  <c r="I284" i="5"/>
  <c r="I281" i="5"/>
  <c r="I279" i="5"/>
  <c r="I236" i="5"/>
  <c r="I231" i="5"/>
  <c r="I205" i="5"/>
  <c r="I191" i="5"/>
  <c r="I141" i="5"/>
  <c r="I89" i="5"/>
  <c r="I88" i="5"/>
  <c r="I85" i="5"/>
  <c r="I78" i="5"/>
  <c r="I63" i="5"/>
  <c r="I61" i="5"/>
  <c r="I53" i="5"/>
  <c r="I54" i="5"/>
  <c r="I40" i="5"/>
  <c r="I42" i="5"/>
  <c r="I39" i="5"/>
  <c r="I707" i="5"/>
  <c r="I681" i="5"/>
  <c r="I665" i="5"/>
  <c r="I639" i="5"/>
  <c r="I548" i="5"/>
  <c r="I530" i="5"/>
  <c r="I503" i="5"/>
  <c r="I454" i="5"/>
  <c r="I446" i="5"/>
  <c r="I415" i="5"/>
  <c r="I397" i="5"/>
  <c r="I391" i="5"/>
  <c r="I384" i="5"/>
  <c r="I380" i="5"/>
  <c r="I349" i="5"/>
  <c r="I334" i="5"/>
  <c r="I326" i="5"/>
  <c r="I320" i="5"/>
  <c r="I316" i="5"/>
  <c r="I309" i="5"/>
  <c r="I294" i="5"/>
  <c r="I275" i="5"/>
  <c r="I257" i="5"/>
  <c r="I237" i="5"/>
  <c r="I216" i="5"/>
  <c r="I213" i="5"/>
  <c r="I200" i="5"/>
  <c r="I982" i="5"/>
  <c r="I804" i="5"/>
  <c r="I791" i="5"/>
  <c r="I779" i="5"/>
  <c r="I744" i="5"/>
  <c r="I731" i="5"/>
  <c r="I709" i="5"/>
  <c r="I683" i="5"/>
  <c r="I676" i="5"/>
  <c r="I641" i="5"/>
  <c r="I594" i="5"/>
  <c r="I569" i="5"/>
  <c r="I556" i="5"/>
  <c r="I554" i="5"/>
  <c r="I545" i="5"/>
  <c r="I518" i="5"/>
  <c r="I489" i="5"/>
  <c r="I487" i="5"/>
  <c r="I474" i="5"/>
  <c r="I469" i="5"/>
  <c r="I451" i="5"/>
  <c r="I439" i="5"/>
  <c r="I435" i="5"/>
  <c r="I431" i="5"/>
  <c r="I403" i="5"/>
  <c r="I394" i="5"/>
  <c r="I390" i="5"/>
  <c r="I383" i="5"/>
  <c r="I369" i="5"/>
  <c r="I364" i="5"/>
  <c r="I353" i="5"/>
  <c r="I351" i="5"/>
  <c r="I345" i="5"/>
  <c r="I335" i="5"/>
  <c r="I332" i="5"/>
  <c r="I315" i="5"/>
  <c r="I310" i="5"/>
  <c r="I308" i="5"/>
  <c r="I307" i="5"/>
  <c r="I299" i="5"/>
  <c r="I300" i="5"/>
  <c r="I289" i="5"/>
  <c r="I286" i="5"/>
  <c r="I267" i="5"/>
  <c r="I262" i="5"/>
  <c r="I260" i="5"/>
  <c r="I258" i="5"/>
  <c r="I251" i="5"/>
  <c r="I244" i="5"/>
  <c r="I235" i="5"/>
  <c r="I219" i="5"/>
  <c r="I195" i="5"/>
  <c r="I193" i="5"/>
  <c r="I192" i="5"/>
  <c r="I183" i="5"/>
  <c r="I176" i="5"/>
  <c r="I169" i="5"/>
  <c r="I148" i="5"/>
  <c r="I131" i="5"/>
  <c r="I127" i="5"/>
  <c r="I123" i="5"/>
  <c r="I122" i="5"/>
  <c r="I119" i="5"/>
  <c r="I113" i="5"/>
  <c r="I111" i="5"/>
  <c r="I103" i="5"/>
  <c r="I104" i="5"/>
  <c r="I100" i="5"/>
  <c r="I80" i="5"/>
  <c r="I79" i="5"/>
  <c r="I75" i="5"/>
  <c r="I74" i="5"/>
  <c r="I71" i="5"/>
  <c r="I67" i="5"/>
  <c r="I66" i="5"/>
  <c r="I59" i="5"/>
  <c r="I56" i="5"/>
  <c r="I47" i="5"/>
  <c r="I46" i="5"/>
  <c r="I45" i="5"/>
  <c r="I43" i="5"/>
  <c r="I41" i="5"/>
  <c r="I34" i="5"/>
  <c r="I909" i="5"/>
  <c r="I856" i="5"/>
  <c r="I830" i="5"/>
  <c r="I809" i="5"/>
  <c r="I801" i="5"/>
  <c r="I794" i="5"/>
  <c r="I760" i="5"/>
  <c r="I749" i="5"/>
  <c r="I738" i="5"/>
  <c r="I737" i="5"/>
  <c r="I732" i="5"/>
  <c r="I729" i="5"/>
  <c r="I720" i="5"/>
  <c r="I702" i="5"/>
  <c r="I666" i="5"/>
  <c r="I651" i="5"/>
  <c r="I618" i="5"/>
  <c r="I592" i="5"/>
  <c r="I583" i="5"/>
  <c r="I575" i="5"/>
  <c r="I567" i="5"/>
  <c r="I544" i="5"/>
  <c r="I525" i="5"/>
  <c r="I479" i="5"/>
  <c r="I453" i="5"/>
  <c r="I437" i="5"/>
  <c r="I381" i="5"/>
  <c r="I362" i="5"/>
  <c r="I324" i="5"/>
  <c r="I312" i="5"/>
  <c r="I298" i="5"/>
  <c r="I293" i="5"/>
  <c r="I277" i="5"/>
  <c r="I268" i="5"/>
  <c r="I263" i="5"/>
  <c r="I206" i="5"/>
  <c r="I186" i="5"/>
  <c r="I175" i="5"/>
  <c r="I177" i="5"/>
  <c r="I152" i="5"/>
  <c r="I142" i="5"/>
  <c r="I99" i="5"/>
  <c r="I87" i="5"/>
  <c r="I83" i="5"/>
  <c r="I68" i="5"/>
  <c r="I60" i="5"/>
  <c r="I58" i="5"/>
  <c r="I50" i="5"/>
  <c r="I36" i="5"/>
  <c r="I669" i="5"/>
  <c r="I652" i="5"/>
  <c r="I608" i="5"/>
  <c r="I526" i="5"/>
  <c r="I477" i="5"/>
  <c r="I470" i="5"/>
  <c r="I465" i="5"/>
  <c r="I440" i="5"/>
  <c r="I430" i="5"/>
  <c r="I404" i="5"/>
  <c r="I392" i="5"/>
  <c r="I379" i="5"/>
  <c r="I375" i="5"/>
  <c r="I331" i="5"/>
  <c r="I325" i="5"/>
  <c r="I301" i="5"/>
  <c r="I295" i="5"/>
  <c r="I254" i="5"/>
  <c r="I241" i="5"/>
  <c r="I238" i="5"/>
  <c r="I228" i="5"/>
  <c r="I203" i="5"/>
  <c r="I194" i="5"/>
  <c r="I173" i="5"/>
  <c r="I159" i="5"/>
  <c r="I128" i="5"/>
  <c r="I51" i="5"/>
  <c r="I151" i="5"/>
  <c r="I57" i="5"/>
  <c r="I52" i="5"/>
  <c r="I98" i="5"/>
  <c r="I84" i="5"/>
  <c r="I55" i="5"/>
  <c r="I37" i="5"/>
  <c r="I140" i="5"/>
  <c r="I72" i="5"/>
  <c r="I62" i="5"/>
  <c r="I184" i="5"/>
  <c r="I133" i="5"/>
  <c r="I70" i="5"/>
  <c r="I49" i="5"/>
  <c r="I44" i="5"/>
  <c r="I170" i="5"/>
  <c r="I69" i="5"/>
  <c r="I16" i="5"/>
  <c r="H77" i="7" s="1"/>
  <c r="I11" i="7"/>
  <c r="I31" i="5"/>
  <c r="G75" i="7"/>
  <c r="G79" i="7"/>
  <c r="G81" i="7"/>
  <c r="I79" i="7"/>
  <c r="J18" i="5" s="1"/>
  <c r="H13" i="7"/>
  <c r="J33" i="5" l="1"/>
  <c r="J1025" i="5"/>
  <c r="J1022" i="5"/>
  <c r="J1020" i="5"/>
  <c r="J1017" i="5"/>
  <c r="J1011" i="5"/>
  <c r="J1006" i="5"/>
  <c r="J1003" i="5"/>
  <c r="J999" i="5"/>
  <c r="J1000" i="5"/>
  <c r="J991" i="5"/>
  <c r="J992" i="5"/>
  <c r="J982" i="5"/>
  <c r="J978" i="5"/>
  <c r="J970" i="5"/>
  <c r="J969" i="5"/>
  <c r="J1029" i="5"/>
  <c r="J1028" i="5"/>
  <c r="J1027" i="5"/>
  <c r="J1026" i="5"/>
  <c r="J1021" i="5"/>
  <c r="J1010" i="5"/>
  <c r="J1008" i="5"/>
  <c r="J1004" i="5"/>
  <c r="J1002" i="5"/>
  <c r="J995" i="5"/>
  <c r="J985" i="5"/>
  <c r="J984" i="5"/>
  <c r="J976" i="5"/>
  <c r="J975" i="5"/>
  <c r="J967" i="5"/>
  <c r="J966" i="5"/>
  <c r="J1018" i="5"/>
  <c r="J1014" i="5"/>
  <c r="J1012" i="5"/>
  <c r="J1001" i="5"/>
  <c r="J998" i="5"/>
  <c r="J993" i="5"/>
  <c r="J980" i="5"/>
  <c r="J973" i="5"/>
  <c r="J968" i="5"/>
  <c r="J965" i="5"/>
  <c r="J963" i="5"/>
  <c r="J959" i="5"/>
  <c r="J955" i="5"/>
  <c r="J950" i="5"/>
  <c r="J951" i="5"/>
  <c r="J949" i="5"/>
  <c r="J948" i="5"/>
  <c r="J945" i="5"/>
  <c r="J936" i="5"/>
  <c r="J935" i="5"/>
  <c r="J934" i="5"/>
  <c r="J1023" i="5"/>
  <c r="J1009" i="5"/>
  <c r="J996" i="5"/>
  <c r="J994" i="5"/>
  <c r="J986" i="5"/>
  <c r="J983" i="5"/>
  <c r="J961" i="5"/>
  <c r="J952" i="5"/>
  <c r="J946" i="5"/>
  <c r="J941" i="5"/>
  <c r="J939" i="5"/>
  <c r="J940" i="5"/>
  <c r="J933" i="5"/>
  <c r="J918" i="5"/>
  <c r="J914" i="5"/>
  <c r="J913" i="5"/>
  <c r="J911" i="5"/>
  <c r="J909" i="5"/>
  <c r="J905" i="5"/>
  <c r="J903" i="5"/>
  <c r="J1031" i="5"/>
  <c r="J1019" i="5"/>
  <c r="J1016" i="5"/>
  <c r="J1013" i="5"/>
  <c r="J997" i="5"/>
  <c r="J987" i="5"/>
  <c r="J974" i="5"/>
  <c r="J953" i="5"/>
  <c r="J942" i="5"/>
  <c r="J932" i="5"/>
  <c r="J931" i="5"/>
  <c r="J926" i="5"/>
  <c r="J925" i="5"/>
  <c r="J890" i="5"/>
  <c r="J893" i="5"/>
  <c r="J888" i="5"/>
  <c r="J886" i="5"/>
  <c r="J883" i="5"/>
  <c r="J878" i="5"/>
  <c r="J877" i="5"/>
  <c r="J872" i="5"/>
  <c r="J869" i="5"/>
  <c r="J866" i="5"/>
  <c r="J863" i="5"/>
  <c r="J862" i="5"/>
  <c r="J857" i="5"/>
  <c r="J855" i="5"/>
  <c r="J854" i="5"/>
  <c r="J851" i="5"/>
  <c r="J845" i="5"/>
  <c r="J841" i="5"/>
  <c r="J836" i="5"/>
  <c r="J833" i="5"/>
  <c r="J827" i="5"/>
  <c r="J825" i="5"/>
  <c r="J990" i="5"/>
  <c r="J977" i="5"/>
  <c r="J971" i="5"/>
  <c r="J964" i="5"/>
  <c r="J962" i="5"/>
  <c r="J956" i="5"/>
  <c r="J944" i="5"/>
  <c r="J937" i="5"/>
  <c r="J930" i="5"/>
  <c r="J924" i="5"/>
  <c r="J921" i="5"/>
  <c r="J920" i="5"/>
  <c r="J917" i="5"/>
  <c r="J915" i="5"/>
  <c r="J912" i="5"/>
  <c r="J908" i="5"/>
  <c r="J906" i="5"/>
  <c r="J900" i="5"/>
  <c r="J898" i="5"/>
  <c r="J897" i="5"/>
  <c r="J896" i="5"/>
  <c r="J892" i="5"/>
  <c r="J891" i="5"/>
  <c r="J885" i="5"/>
  <c r="J882" i="5"/>
  <c r="J881" i="5"/>
  <c r="J873" i="5"/>
  <c r="J874" i="5"/>
  <c r="J867" i="5"/>
  <c r="J861" i="5"/>
  <c r="J860" i="5"/>
  <c r="J859" i="5"/>
  <c r="J858" i="5"/>
  <c r="J852" i="5"/>
  <c r="J849" i="5"/>
  <c r="J847" i="5"/>
  <c r="J843" i="5"/>
  <c r="J840" i="5"/>
  <c r="J837" i="5"/>
  <c r="J838" i="5"/>
  <c r="J835" i="5"/>
  <c r="J834" i="5"/>
  <c r="J832" i="5"/>
  <c r="J1030" i="5"/>
  <c r="J988" i="5"/>
  <c r="J979" i="5"/>
  <c r="J972" i="5"/>
  <c r="J943" i="5"/>
  <c r="J927" i="5"/>
  <c r="J919" i="5"/>
  <c r="J902" i="5"/>
  <c r="J901" i="5"/>
  <c r="J875" i="5"/>
  <c r="J853" i="5"/>
  <c r="J842" i="5"/>
  <c r="J830" i="5"/>
  <c r="J824" i="5"/>
  <c r="J818" i="5"/>
  <c r="J810" i="5"/>
  <c r="J801" i="5"/>
  <c r="J800" i="5"/>
  <c r="J1024" i="5"/>
  <c r="J1015" i="5"/>
  <c r="J1005" i="5"/>
  <c r="J960" i="5"/>
  <c r="J947" i="5"/>
  <c r="J938" i="5"/>
  <c r="J922" i="5"/>
  <c r="J904" i="5"/>
  <c r="J889" i="5"/>
  <c r="J887" i="5"/>
  <c r="J884" i="5"/>
  <c r="J865" i="5"/>
  <c r="J868" i="5"/>
  <c r="J856" i="5"/>
  <c r="J846" i="5"/>
  <c r="J844" i="5"/>
  <c r="J831" i="5"/>
  <c r="J826" i="5"/>
  <c r="J821" i="5"/>
  <c r="J819" i="5"/>
  <c r="J815" i="5"/>
  <c r="J813" i="5"/>
  <c r="J812" i="5"/>
  <c r="J806" i="5"/>
  <c r="J808" i="5"/>
  <c r="J797" i="5"/>
  <c r="J778" i="5"/>
  <c r="J774" i="5"/>
  <c r="J773" i="5"/>
  <c r="J769" i="5"/>
  <c r="J768" i="5"/>
  <c r="J767" i="5"/>
  <c r="J761" i="5"/>
  <c r="J755" i="5"/>
  <c r="J989" i="5"/>
  <c r="J957" i="5"/>
  <c r="J929" i="5"/>
  <c r="J923" i="5"/>
  <c r="J916" i="5"/>
  <c r="J910" i="5"/>
  <c r="J899" i="5"/>
  <c r="J879" i="5"/>
  <c r="J870" i="5"/>
  <c r="J864" i="5"/>
  <c r="J850" i="5"/>
  <c r="J848" i="5"/>
  <c r="J828" i="5"/>
  <c r="J829" i="5"/>
  <c r="J958" i="5"/>
  <c r="J928" i="5"/>
  <c r="J895" i="5"/>
  <c r="J876" i="5"/>
  <c r="J823" i="5"/>
  <c r="J816" i="5"/>
  <c r="J809" i="5"/>
  <c r="J807" i="5"/>
  <c r="J798" i="5"/>
  <c r="J796" i="5"/>
  <c r="J791" i="5"/>
  <c r="J790" i="5"/>
  <c r="J789" i="5"/>
  <c r="J788" i="5"/>
  <c r="J784" i="5"/>
  <c r="J783" i="5"/>
  <c r="J780" i="5"/>
  <c r="J775" i="5"/>
  <c r="J771" i="5"/>
  <c r="J764" i="5"/>
  <c r="J763" i="5"/>
  <c r="J759" i="5"/>
  <c r="J753" i="5"/>
  <c r="J752" i="5"/>
  <c r="J748" i="5"/>
  <c r="J745" i="5"/>
  <c r="J743" i="5"/>
  <c r="J738" i="5"/>
  <c r="J737" i="5"/>
  <c r="J730" i="5"/>
  <c r="J728" i="5"/>
  <c r="J725" i="5"/>
  <c r="J723" i="5"/>
  <c r="J720" i="5"/>
  <c r="J715" i="5"/>
  <c r="J713" i="5"/>
  <c r="J708" i="5"/>
  <c r="J704" i="5"/>
  <c r="J700" i="5"/>
  <c r="J693" i="5"/>
  <c r="J689" i="5"/>
  <c r="J687" i="5"/>
  <c r="J680" i="5"/>
  <c r="J678" i="5"/>
  <c r="J676" i="5"/>
  <c r="J672" i="5"/>
  <c r="J671" i="5"/>
  <c r="J670" i="5"/>
  <c r="J667" i="5"/>
  <c r="J665" i="5"/>
  <c r="J658" i="5"/>
  <c r="J661" i="5"/>
  <c r="J653" i="5"/>
  <c r="J650" i="5"/>
  <c r="J639" i="5"/>
  <c r="J636" i="5"/>
  <c r="J633" i="5"/>
  <c r="J631" i="5"/>
  <c r="J625" i="5"/>
  <c r="J624" i="5"/>
  <c r="J623" i="5"/>
  <c r="J620" i="5"/>
  <c r="J616" i="5"/>
  <c r="J613" i="5"/>
  <c r="J608" i="5"/>
  <c r="J609" i="5"/>
  <c r="J606" i="5"/>
  <c r="J600" i="5"/>
  <c r="J599" i="5"/>
  <c r="J598" i="5"/>
  <c r="J594" i="5"/>
  <c r="J593" i="5"/>
  <c r="J589" i="5"/>
  <c r="J580" i="5"/>
  <c r="J575" i="5"/>
  <c r="J571" i="5"/>
  <c r="J568" i="5"/>
  <c r="J561" i="5"/>
  <c r="J814" i="5"/>
  <c r="J804" i="5"/>
  <c r="J802" i="5"/>
  <c r="J795" i="5"/>
  <c r="J794" i="5"/>
  <c r="J787" i="5"/>
  <c r="J777" i="5"/>
  <c r="J770" i="5"/>
  <c r="J772" i="5"/>
  <c r="J766" i="5"/>
  <c r="J760" i="5"/>
  <c r="J756" i="5"/>
  <c r="J754" i="5"/>
  <c r="J742" i="5"/>
  <c r="J744" i="5"/>
  <c r="J740" i="5"/>
  <c r="J736" i="5"/>
  <c r="J733" i="5"/>
  <c r="J731" i="5"/>
  <c r="J721" i="5"/>
  <c r="J719" i="5"/>
  <c r="J717" i="5"/>
  <c r="J714" i="5"/>
  <c r="J710" i="5"/>
  <c r="J705" i="5"/>
  <c r="J688" i="5"/>
  <c r="J684" i="5"/>
  <c r="J682" i="5"/>
  <c r="J679" i="5"/>
  <c r="J677" i="5"/>
  <c r="J674" i="5"/>
  <c r="J664" i="5"/>
  <c r="J662" i="5"/>
  <c r="J652" i="5"/>
  <c r="J651" i="5"/>
  <c r="J644" i="5"/>
  <c r="J638" i="5"/>
  <c r="J629" i="5"/>
  <c r="J627" i="5"/>
  <c r="J607" i="5"/>
  <c r="J605" i="5"/>
  <c r="J603" i="5"/>
  <c r="J592" i="5"/>
  <c r="J588" i="5"/>
  <c r="J585" i="5"/>
  <c r="J584" i="5"/>
  <c r="J581" i="5"/>
  <c r="J574" i="5"/>
  <c r="J557" i="5"/>
  <c r="J549" i="5"/>
  <c r="J540" i="5"/>
  <c r="J534" i="5"/>
  <c r="J535" i="5"/>
  <c r="J531" i="5"/>
  <c r="J525" i="5"/>
  <c r="J524" i="5"/>
  <c r="J523" i="5"/>
  <c r="J521" i="5"/>
  <c r="J517" i="5"/>
  <c r="J516" i="5"/>
  <c r="J513" i="5"/>
  <c r="J512" i="5"/>
  <c r="J511" i="5"/>
  <c r="J510" i="5"/>
  <c r="J509" i="5"/>
  <c r="J508" i="5"/>
  <c r="J501" i="5"/>
  <c r="J500" i="5"/>
  <c r="J494" i="5"/>
  <c r="J492" i="5"/>
  <c r="J490" i="5"/>
  <c r="J487" i="5"/>
  <c r="J488" i="5"/>
  <c r="J486" i="5"/>
  <c r="J954" i="5"/>
  <c r="J907" i="5"/>
  <c r="J871" i="5"/>
  <c r="J839" i="5"/>
  <c r="J803" i="5"/>
  <c r="J799" i="5"/>
  <c r="J792" i="5"/>
  <c r="J781" i="5"/>
  <c r="J765" i="5"/>
  <c r="J751" i="5"/>
  <c r="J746" i="5"/>
  <c r="J739" i="5"/>
  <c r="J732" i="5"/>
  <c r="J726" i="5"/>
  <c r="J716" i="5"/>
  <c r="J706" i="5"/>
  <c r="J701" i="5"/>
  <c r="J696" i="5"/>
  <c r="J690" i="5"/>
  <c r="J675" i="5"/>
  <c r="J669" i="5"/>
  <c r="J657" i="5"/>
  <c r="J656" i="5"/>
  <c r="J637" i="5"/>
  <c r="J630" i="5"/>
  <c r="J626" i="5"/>
  <c r="J617" i="5"/>
  <c r="J618" i="5"/>
  <c r="J615" i="5"/>
  <c r="J611" i="5"/>
  <c r="J595" i="5"/>
  <c r="J591" i="5"/>
  <c r="J587" i="5"/>
  <c r="J583" i="5"/>
  <c r="J579" i="5"/>
  <c r="J578" i="5"/>
  <c r="J577" i="5"/>
  <c r="J576" i="5"/>
  <c r="J569" i="5"/>
  <c r="J573" i="5"/>
  <c r="J566" i="5"/>
  <c r="J560" i="5"/>
  <c r="J558" i="5"/>
  <c r="J554" i="5"/>
  <c r="J550" i="5"/>
  <c r="J548" i="5"/>
  <c r="J547" i="5"/>
  <c r="J544" i="5"/>
  <c r="J537" i="5"/>
  <c r="J533" i="5"/>
  <c r="J527" i="5"/>
  <c r="J530" i="5"/>
  <c r="J528" i="5"/>
  <c r="J526" i="5"/>
  <c r="J519" i="5"/>
  <c r="J515" i="5"/>
  <c r="J505" i="5"/>
  <c r="J504" i="5"/>
  <c r="J498" i="5"/>
  <c r="J493" i="5"/>
  <c r="J482" i="5"/>
  <c r="J478" i="5"/>
  <c r="J471" i="5"/>
  <c r="J470" i="5"/>
  <c r="J465" i="5"/>
  <c r="J463" i="5"/>
  <c r="J460" i="5"/>
  <c r="J453" i="5"/>
  <c r="J450" i="5"/>
  <c r="J441" i="5"/>
  <c r="J820" i="5"/>
  <c r="J793" i="5"/>
  <c r="J785" i="5"/>
  <c r="J776" i="5"/>
  <c r="J747" i="5"/>
  <c r="J750" i="5"/>
  <c r="J735" i="5"/>
  <c r="J722" i="5"/>
  <c r="J709" i="5"/>
  <c r="J694" i="5"/>
  <c r="J692" i="5"/>
  <c r="J683" i="5"/>
  <c r="J681" i="5"/>
  <c r="J668" i="5"/>
  <c r="J660" i="5"/>
  <c r="J649" i="5"/>
  <c r="J645" i="5"/>
  <c r="J642" i="5"/>
  <c r="J641" i="5"/>
  <c r="J634" i="5"/>
  <c r="J601" i="5"/>
  <c r="J597" i="5"/>
  <c r="J582" i="5"/>
  <c r="J564" i="5"/>
  <c r="J562" i="5"/>
  <c r="J556" i="5"/>
  <c r="J545" i="5"/>
  <c r="J546" i="5"/>
  <c r="J536" i="5"/>
  <c r="J496" i="5"/>
  <c r="J480" i="5"/>
  <c r="J479" i="5"/>
  <c r="J474" i="5"/>
  <c r="J458" i="5"/>
  <c r="J455" i="5"/>
  <c r="J452" i="5"/>
  <c r="J451" i="5"/>
  <c r="J446" i="5"/>
  <c r="J435" i="5"/>
  <c r="J429" i="5"/>
  <c r="J426" i="5"/>
  <c r="J422" i="5"/>
  <c r="J423" i="5"/>
  <c r="J418" i="5"/>
  <c r="J416" i="5"/>
  <c r="J405" i="5"/>
  <c r="J399" i="5"/>
  <c r="J398" i="5"/>
  <c r="J396" i="5"/>
  <c r="J387" i="5"/>
  <c r="J380" i="5"/>
  <c r="J369" i="5"/>
  <c r="J365" i="5"/>
  <c r="J364" i="5"/>
  <c r="J359" i="5"/>
  <c r="J357" i="5"/>
  <c r="J353" i="5"/>
  <c r="J349" i="5"/>
  <c r="J346" i="5"/>
  <c r="J340" i="5"/>
  <c r="J339" i="5"/>
  <c r="J336" i="5"/>
  <c r="J331" i="5"/>
  <c r="J333" i="5"/>
  <c r="J329" i="5"/>
  <c r="J327" i="5"/>
  <c r="J323" i="5"/>
  <c r="J311" i="5"/>
  <c r="J308" i="5"/>
  <c r="J303" i="5"/>
  <c r="J298" i="5"/>
  <c r="J297" i="5"/>
  <c r="J292" i="5"/>
  <c r="J291" i="5"/>
  <c r="J288" i="5"/>
  <c r="J286" i="5"/>
  <c r="J279" i="5"/>
  <c r="J280" i="5"/>
  <c r="J277" i="5"/>
  <c r="J276" i="5"/>
  <c r="J275" i="5"/>
  <c r="J268" i="5"/>
  <c r="J266" i="5"/>
  <c r="J261" i="5"/>
  <c r="J259" i="5"/>
  <c r="J258" i="5"/>
  <c r="J257" i="5"/>
  <c r="J254" i="5"/>
  <c r="J253" i="5"/>
  <c r="J252" i="5"/>
  <c r="J244" i="5"/>
  <c r="J243" i="5"/>
  <c r="J241" i="5"/>
  <c r="J238" i="5"/>
  <c r="J229" i="5"/>
  <c r="J225" i="5"/>
  <c r="J224" i="5"/>
  <c r="J222" i="5"/>
  <c r="J218" i="5"/>
  <c r="J213" i="5"/>
  <c r="J204" i="5"/>
  <c r="J200" i="5"/>
  <c r="J197" i="5"/>
  <c r="J196" i="5"/>
  <c r="J193" i="5"/>
  <c r="J188" i="5"/>
  <c r="J184" i="5"/>
  <c r="J177" i="5"/>
  <c r="J176" i="5"/>
  <c r="J170" i="5"/>
  <c r="J168" i="5"/>
  <c r="J167" i="5"/>
  <c r="J163" i="5"/>
  <c r="J157" i="5"/>
  <c r="J153" i="5"/>
  <c r="J147" i="5"/>
  <c r="J132" i="5"/>
  <c r="J128" i="5"/>
  <c r="J127" i="5"/>
  <c r="J118" i="5"/>
  <c r="J115" i="5"/>
  <c r="J108" i="5"/>
  <c r="J112" i="5"/>
  <c r="J111" i="5"/>
  <c r="J107" i="5"/>
  <c r="J104" i="5"/>
  <c r="J103" i="5"/>
  <c r="J102" i="5"/>
  <c r="J100" i="5"/>
  <c r="J99" i="5"/>
  <c r="J97" i="5"/>
  <c r="J96" i="5"/>
  <c r="J89" i="5"/>
  <c r="J87" i="5"/>
  <c r="J79" i="5"/>
  <c r="J1007" i="5"/>
  <c r="J811" i="5"/>
  <c r="J779" i="5"/>
  <c r="J758" i="5"/>
  <c r="J749" i="5"/>
  <c r="J741" i="5"/>
  <c r="J734" i="5"/>
  <c r="J711" i="5"/>
  <c r="J698" i="5"/>
  <c r="J685" i="5"/>
  <c r="J663" i="5"/>
  <c r="J647" i="5"/>
  <c r="J640" i="5"/>
  <c r="J632" i="5"/>
  <c r="J621" i="5"/>
  <c r="J619" i="5"/>
  <c r="J604" i="5"/>
  <c r="J572" i="5"/>
  <c r="J570" i="5"/>
  <c r="J567" i="5"/>
  <c r="J565" i="5"/>
  <c r="J555" i="5"/>
  <c r="J551" i="5"/>
  <c r="J542" i="5"/>
  <c r="J539" i="5"/>
  <c r="J520" i="5"/>
  <c r="J518" i="5"/>
  <c r="J507" i="5"/>
  <c r="J499" i="5"/>
  <c r="J477" i="5"/>
  <c r="J475" i="5"/>
  <c r="J468" i="5"/>
  <c r="J469" i="5"/>
  <c r="J456" i="5"/>
  <c r="J445" i="5"/>
  <c r="J440" i="5"/>
  <c r="J439" i="5"/>
  <c r="J436" i="5"/>
  <c r="J431" i="5"/>
  <c r="J433" i="5"/>
  <c r="J412" i="5"/>
  <c r="J409" i="5"/>
  <c r="J406" i="5"/>
  <c r="J397" i="5"/>
  <c r="J400" i="5"/>
  <c r="J391" i="5"/>
  <c r="J389" i="5"/>
  <c r="J388" i="5"/>
  <c r="J384" i="5"/>
  <c r="J383" i="5"/>
  <c r="J377" i="5"/>
  <c r="J373" i="5"/>
  <c r="J367" i="5"/>
  <c r="J366" i="5"/>
  <c r="J362" i="5"/>
  <c r="J350" i="5"/>
  <c r="J348" i="5"/>
  <c r="J335" i="5"/>
  <c r="J326" i="5"/>
  <c r="J324" i="5"/>
  <c r="J321" i="5"/>
  <c r="J320" i="5"/>
  <c r="J317" i="5"/>
  <c r="J316" i="5"/>
  <c r="J313" i="5"/>
  <c r="J309" i="5"/>
  <c r="J304" i="5"/>
  <c r="J302" i="5"/>
  <c r="J301" i="5"/>
  <c r="J300" i="5"/>
  <c r="J289" i="5"/>
  <c r="J278" i="5"/>
  <c r="J272" i="5"/>
  <c r="J269" i="5"/>
  <c r="J270" i="5"/>
  <c r="J267" i="5"/>
  <c r="J264" i="5"/>
  <c r="J260" i="5"/>
  <c r="J251" i="5"/>
  <c r="J246" i="5"/>
  <c r="J242" i="5"/>
  <c r="J239" i="5"/>
  <c r="J236" i="5"/>
  <c r="J230" i="5"/>
  <c r="J231" i="5"/>
  <c r="J227" i="5"/>
  <c r="J223" i="5"/>
  <c r="J220" i="5"/>
  <c r="J217" i="5"/>
  <c r="J216" i="5"/>
  <c r="J208" i="5"/>
  <c r="J207" i="5"/>
  <c r="J206" i="5"/>
  <c r="J203" i="5"/>
  <c r="J201" i="5"/>
  <c r="J202" i="5"/>
  <c r="J192" i="5"/>
  <c r="J194" i="5"/>
  <c r="J195" i="5"/>
  <c r="J189" i="5"/>
  <c r="J185" i="5"/>
  <c r="J182" i="5"/>
  <c r="J180" i="5"/>
  <c r="J178" i="5"/>
  <c r="J172" i="5"/>
  <c r="J174" i="5"/>
  <c r="J173" i="5"/>
  <c r="J171" i="5"/>
  <c r="J165" i="5"/>
  <c r="J160" i="5"/>
  <c r="J161" i="5"/>
  <c r="J159" i="5"/>
  <c r="J152" i="5"/>
  <c r="J140" i="5"/>
  <c r="J135" i="5"/>
  <c r="J134" i="5"/>
  <c r="J130" i="5"/>
  <c r="J129" i="5"/>
  <c r="J126" i="5"/>
  <c r="J124" i="5"/>
  <c r="J123" i="5"/>
  <c r="J121" i="5"/>
  <c r="J119" i="5"/>
  <c r="J116" i="5"/>
  <c r="J109" i="5"/>
  <c r="J101" i="5"/>
  <c r="J98" i="5"/>
  <c r="J95" i="5"/>
  <c r="J84" i="5"/>
  <c r="J83" i="5"/>
  <c r="J82" i="5"/>
  <c r="J80" i="5"/>
  <c r="J73" i="5"/>
  <c r="J72" i="5"/>
  <c r="J70" i="5"/>
  <c r="J981" i="5"/>
  <c r="J822" i="5"/>
  <c r="J805" i="5"/>
  <c r="J782" i="5"/>
  <c r="J762" i="5"/>
  <c r="J757" i="5"/>
  <c r="J702" i="5"/>
  <c r="J697" i="5"/>
  <c r="J659" i="5"/>
  <c r="J646" i="5"/>
  <c r="J612" i="5"/>
  <c r="J541" i="5"/>
  <c r="J532" i="5"/>
  <c r="J529" i="5"/>
  <c r="J497" i="5"/>
  <c r="J473" i="5"/>
  <c r="J459" i="5"/>
  <c r="J442" i="5"/>
  <c r="J437" i="5"/>
  <c r="J432" i="5"/>
  <c r="J420" i="5"/>
  <c r="J417" i="5"/>
  <c r="J408" i="5"/>
  <c r="J404" i="5"/>
  <c r="J393" i="5"/>
  <c r="J392" i="5"/>
  <c r="J390" i="5"/>
  <c r="J381" i="5"/>
  <c r="J376" i="5"/>
  <c r="J372" i="5"/>
  <c r="J361" i="5"/>
  <c r="J355" i="5"/>
  <c r="J322" i="5"/>
  <c r="J318" i="5"/>
  <c r="J314" i="5"/>
  <c r="J312" i="5"/>
  <c r="J295" i="5"/>
  <c r="J294" i="5"/>
  <c r="J285" i="5"/>
  <c r="J284" i="5"/>
  <c r="J282" i="5"/>
  <c r="J263" i="5"/>
  <c r="J248" i="5"/>
  <c r="J235" i="5"/>
  <c r="J219" i="5"/>
  <c r="J190" i="5"/>
  <c r="J186" i="5"/>
  <c r="J183" i="5"/>
  <c r="J179" i="5"/>
  <c r="J154" i="5"/>
  <c r="J144" i="5"/>
  <c r="J146" i="5"/>
  <c r="J141" i="5"/>
  <c r="J137" i="5"/>
  <c r="J120" i="5"/>
  <c r="J114" i="5"/>
  <c r="J94" i="5"/>
  <c r="J91" i="5"/>
  <c r="J88" i="5"/>
  <c r="J85" i="5"/>
  <c r="J81" i="5"/>
  <c r="J78" i="5"/>
  <c r="J75" i="5"/>
  <c r="J63" i="5"/>
  <c r="J58" i="5"/>
  <c r="J54" i="5"/>
  <c r="J52" i="5"/>
  <c r="J50" i="5"/>
  <c r="J48" i="5"/>
  <c r="J47" i="5"/>
  <c r="J43" i="5"/>
  <c r="J44" i="5"/>
  <c r="J45" i="5"/>
  <c r="J39" i="5"/>
  <c r="J563" i="5"/>
  <c r="J543" i="5"/>
  <c r="J491" i="5"/>
  <c r="J443" i="5"/>
  <c r="J434" i="5"/>
  <c r="J428" i="5"/>
  <c r="J425" i="5"/>
  <c r="J415" i="5"/>
  <c r="J407" i="5"/>
  <c r="J401" i="5"/>
  <c r="J394" i="5"/>
  <c r="J375" i="5"/>
  <c r="J371" i="5"/>
  <c r="J347" i="5"/>
  <c r="J330" i="5"/>
  <c r="J315" i="5"/>
  <c r="J307" i="5"/>
  <c r="J290" i="5"/>
  <c r="J256" i="5"/>
  <c r="J247" i="5"/>
  <c r="J240" i="5"/>
  <c r="J228" i="5"/>
  <c r="J221" i="5"/>
  <c r="J175" i="5"/>
  <c r="J105" i="5"/>
  <c r="J76" i="5"/>
  <c r="J67" i="5"/>
  <c r="J65" i="5"/>
  <c r="J60" i="5"/>
  <c r="J46" i="5"/>
  <c r="J40" i="5"/>
  <c r="J691" i="5"/>
  <c r="J673" i="5"/>
  <c r="J655" i="5"/>
  <c r="J622" i="5"/>
  <c r="J596" i="5"/>
  <c r="J522" i="5"/>
  <c r="J485" i="5"/>
  <c r="J476" i="5"/>
  <c r="J472" i="5"/>
  <c r="J462" i="5"/>
  <c r="J449" i="5"/>
  <c r="J438" i="5"/>
  <c r="J403" i="5"/>
  <c r="J341" i="5"/>
  <c r="J299" i="5"/>
  <c r="J287" i="5"/>
  <c r="J265" i="5"/>
  <c r="J262" i="5"/>
  <c r="J234" i="5"/>
  <c r="J205" i="5"/>
  <c r="J894" i="5"/>
  <c r="J786" i="5"/>
  <c r="J727" i="5"/>
  <c r="J718" i="5"/>
  <c r="J666" i="5"/>
  <c r="J654" i="5"/>
  <c r="J628" i="5"/>
  <c r="J614" i="5"/>
  <c r="J602" i="5"/>
  <c r="J590" i="5"/>
  <c r="J586" i="5"/>
  <c r="J538" i="5"/>
  <c r="J503" i="5"/>
  <c r="J484" i="5"/>
  <c r="J467" i="5"/>
  <c r="J454" i="5"/>
  <c r="J448" i="5"/>
  <c r="J447" i="5"/>
  <c r="J444" i="5"/>
  <c r="J430" i="5"/>
  <c r="J427" i="5"/>
  <c r="J424" i="5"/>
  <c r="J421" i="5"/>
  <c r="J414" i="5"/>
  <c r="J411" i="5"/>
  <c r="J410" i="5"/>
  <c r="J386" i="5"/>
  <c r="J385" i="5"/>
  <c r="J382" i="5"/>
  <c r="J379" i="5"/>
  <c r="J374" i="5"/>
  <c r="J358" i="5"/>
  <c r="J356" i="5"/>
  <c r="J345" i="5"/>
  <c r="J344" i="5"/>
  <c r="J334" i="5"/>
  <c r="J325" i="5"/>
  <c r="J305" i="5"/>
  <c r="J293" i="5"/>
  <c r="J283" i="5"/>
  <c r="J281" i="5"/>
  <c r="J273" i="5"/>
  <c r="J255" i="5"/>
  <c r="J250" i="5"/>
  <c r="J237" i="5"/>
  <c r="J233" i="5"/>
  <c r="J226" i="5"/>
  <c r="J214" i="5"/>
  <c r="J211" i="5"/>
  <c r="J209" i="5"/>
  <c r="J198" i="5"/>
  <c r="J187" i="5"/>
  <c r="J164" i="5"/>
  <c r="J162" i="5"/>
  <c r="J155" i="5"/>
  <c r="J151" i="5"/>
  <c r="J150" i="5"/>
  <c r="J142" i="5"/>
  <c r="J139" i="5"/>
  <c r="J136" i="5"/>
  <c r="J133" i="5"/>
  <c r="J93" i="5"/>
  <c r="J69" i="5"/>
  <c r="J66" i="5"/>
  <c r="J59" i="5"/>
  <c r="J53" i="5"/>
  <c r="J51" i="5"/>
  <c r="J41" i="5"/>
  <c r="J38" i="5"/>
  <c r="J35" i="5"/>
  <c r="J817" i="5"/>
  <c r="J724" i="5"/>
  <c r="J712" i="5"/>
  <c r="J707" i="5"/>
  <c r="J699" i="5"/>
  <c r="J648" i="5"/>
  <c r="J635" i="5"/>
  <c r="J610" i="5"/>
  <c r="J559" i="5"/>
  <c r="J553" i="5"/>
  <c r="J514" i="5"/>
  <c r="J506" i="5"/>
  <c r="J502" i="5"/>
  <c r="J495" i="5"/>
  <c r="J483" i="5"/>
  <c r="J466" i="5"/>
  <c r="J461" i="5"/>
  <c r="J457" i="5"/>
  <c r="J419" i="5"/>
  <c r="J395" i="5"/>
  <c r="J378" i="5"/>
  <c r="J370" i="5"/>
  <c r="J360" i="5"/>
  <c r="J354" i="5"/>
  <c r="J351" i="5"/>
  <c r="J343" i="5"/>
  <c r="J337" i="5"/>
  <c r="J332" i="5"/>
  <c r="J310" i="5"/>
  <c r="J306" i="5"/>
  <c r="J296" i="5"/>
  <c r="J245" i="5"/>
  <c r="J232" i="5"/>
  <c r="J215" i="5"/>
  <c r="J212" i="5"/>
  <c r="J199" i="5"/>
  <c r="J191" i="5"/>
  <c r="J169" i="5"/>
  <c r="J166" i="5"/>
  <c r="J158" i="5"/>
  <c r="J148" i="5"/>
  <c r="J131" i="5"/>
  <c r="J110" i="5"/>
  <c r="J90" i="5"/>
  <c r="J71" i="5"/>
  <c r="J64" i="5"/>
  <c r="J61" i="5"/>
  <c r="J42" i="5"/>
  <c r="J32" i="5"/>
  <c r="J880" i="5"/>
  <c r="J729" i="5"/>
  <c r="J703" i="5"/>
  <c r="J695" i="5"/>
  <c r="J686" i="5"/>
  <c r="J643" i="5"/>
  <c r="J552" i="5"/>
  <c r="J489" i="5"/>
  <c r="J481" i="5"/>
  <c r="J464" i="5"/>
  <c r="J413" i="5"/>
  <c r="J402" i="5"/>
  <c r="J368" i="5"/>
  <c r="J363" i="5"/>
  <c r="J352" i="5"/>
  <c r="J342" i="5"/>
  <c r="J338" i="5"/>
  <c r="J328" i="5"/>
  <c r="J319" i="5"/>
  <c r="J274" i="5"/>
  <c r="J271" i="5"/>
  <c r="J249" i="5"/>
  <c r="J210" i="5"/>
  <c r="J77" i="5"/>
  <c r="J57" i="5"/>
  <c r="J113" i="5"/>
  <c r="J34" i="5"/>
  <c r="J138" i="5"/>
  <c r="J125" i="5"/>
  <c r="J86" i="5"/>
  <c r="J74" i="5"/>
  <c r="J181" i="5"/>
  <c r="J156" i="5"/>
  <c r="J149" i="5"/>
  <c r="J143" i="5"/>
  <c r="J122" i="5"/>
  <c r="J117" i="5"/>
  <c r="J68" i="5"/>
  <c r="J49" i="5"/>
  <c r="J37" i="5"/>
  <c r="J145" i="5"/>
  <c r="J55" i="5"/>
  <c r="J106" i="5"/>
  <c r="J92" i="5"/>
  <c r="J62" i="5"/>
  <c r="J56" i="5"/>
  <c r="J36" i="5"/>
  <c r="H4" i="5"/>
  <c r="G83" i="7"/>
  <c r="I13" i="7"/>
  <c r="J14" i="5"/>
  <c r="K14" i="5"/>
  <c r="H83" i="7"/>
  <c r="H81" i="7"/>
  <c r="J79" i="7"/>
  <c r="K18" i="5" s="1"/>
  <c r="J11" i="7"/>
  <c r="K1031" i="5" l="1"/>
  <c r="K1019" i="5"/>
  <c r="K1018" i="5"/>
  <c r="K1014" i="5"/>
  <c r="K1013" i="5"/>
  <c r="K1012" i="5"/>
  <c r="K1009" i="5"/>
  <c r="K1002" i="5"/>
  <c r="K1006" i="5"/>
  <c r="K997" i="5"/>
  <c r="K990" i="5"/>
  <c r="K988" i="5"/>
  <c r="K984" i="5"/>
  <c r="K982" i="5"/>
  <c r="K980" i="5"/>
  <c r="K979" i="5"/>
  <c r="K975" i="5"/>
  <c r="K972" i="5"/>
  <c r="K973" i="5"/>
  <c r="K967" i="5"/>
  <c r="K32" i="5"/>
  <c r="K1028" i="5"/>
  <c r="K1024" i="5"/>
  <c r="K1016" i="5"/>
  <c r="K1015" i="5"/>
  <c r="K999" i="5"/>
  <c r="K998" i="5"/>
  <c r="K996" i="5"/>
  <c r="K986" i="5"/>
  <c r="K983" i="5"/>
  <c r="K977" i="5"/>
  <c r="K976" i="5"/>
  <c r="K974" i="5"/>
  <c r="K971" i="5"/>
  <c r="K970" i="5"/>
  <c r="K966" i="5"/>
  <c r="K965" i="5"/>
  <c r="K1026" i="5"/>
  <c r="K1025" i="5"/>
  <c r="K1023" i="5"/>
  <c r="K1020" i="5"/>
  <c r="K1017" i="5"/>
  <c r="K1004" i="5"/>
  <c r="K985" i="5"/>
  <c r="K962" i="5"/>
  <c r="K950" i="5"/>
  <c r="K940" i="5"/>
  <c r="K935" i="5"/>
  <c r="K1021" i="5"/>
  <c r="K1010" i="5"/>
  <c r="K1007" i="5"/>
  <c r="K1005" i="5"/>
  <c r="K1001" i="5"/>
  <c r="K994" i="5"/>
  <c r="K993" i="5"/>
  <c r="K978" i="5"/>
  <c r="K968" i="5"/>
  <c r="K960" i="5"/>
  <c r="K958" i="5"/>
  <c r="K957" i="5"/>
  <c r="K954" i="5"/>
  <c r="K953" i="5"/>
  <c r="K942" i="5"/>
  <c r="K934" i="5"/>
  <c r="K933" i="5"/>
  <c r="K931" i="5"/>
  <c r="K928" i="5"/>
  <c r="K925" i="5"/>
  <c r="K924" i="5"/>
  <c r="K923" i="5"/>
  <c r="K921" i="5"/>
  <c r="K920" i="5"/>
  <c r="K904" i="5"/>
  <c r="K903" i="5"/>
  <c r="K1029" i="5"/>
  <c r="K992" i="5"/>
  <c r="K989" i="5"/>
  <c r="K981" i="5"/>
  <c r="K963" i="5"/>
  <c r="K956" i="5"/>
  <c r="K945" i="5"/>
  <c r="K937" i="5"/>
  <c r="K932" i="5"/>
  <c r="K930" i="5"/>
  <c r="K927" i="5"/>
  <c r="K918" i="5"/>
  <c r="K916" i="5"/>
  <c r="K914" i="5"/>
  <c r="K907" i="5"/>
  <c r="K908" i="5"/>
  <c r="K906" i="5"/>
  <c r="K894" i="5"/>
  <c r="K888" i="5"/>
  <c r="K887" i="5"/>
  <c r="K877" i="5"/>
  <c r="K873" i="5"/>
  <c r="K870" i="5"/>
  <c r="K857" i="5"/>
  <c r="K848" i="5"/>
  <c r="K845" i="5"/>
  <c r="K839" i="5"/>
  <c r="K834" i="5"/>
  <c r="K830" i="5"/>
  <c r="K825" i="5"/>
  <c r="K821" i="5"/>
  <c r="K1022" i="5"/>
  <c r="K1003" i="5"/>
  <c r="K987" i="5"/>
  <c r="K964" i="5"/>
  <c r="K961" i="5"/>
  <c r="K959" i="5"/>
  <c r="K946" i="5"/>
  <c r="K952" i="5"/>
  <c r="K947" i="5"/>
  <c r="K941" i="5"/>
  <c r="K938" i="5"/>
  <c r="K926" i="5"/>
  <c r="K911" i="5"/>
  <c r="K910" i="5"/>
  <c r="K905" i="5"/>
  <c r="K902" i="5"/>
  <c r="K900" i="5"/>
  <c r="K898" i="5"/>
  <c r="K891" i="5"/>
  <c r="K884" i="5"/>
  <c r="K879" i="5"/>
  <c r="K878" i="5"/>
  <c r="K874" i="5"/>
  <c r="K872" i="5"/>
  <c r="K868" i="5"/>
  <c r="K866" i="5"/>
  <c r="K862" i="5"/>
  <c r="K856" i="5"/>
  <c r="K855" i="5"/>
  <c r="K850" i="5"/>
  <c r="K846" i="5"/>
  <c r="K844" i="5"/>
  <c r="K842" i="5"/>
  <c r="K840" i="5"/>
  <c r="K835" i="5"/>
  <c r="K827" i="5"/>
  <c r="K828" i="5"/>
  <c r="K826" i="5"/>
  <c r="K1011" i="5"/>
  <c r="K951" i="5"/>
  <c r="K929" i="5"/>
  <c r="K922" i="5"/>
  <c r="K919" i="5"/>
  <c r="K917" i="5"/>
  <c r="K896" i="5"/>
  <c r="K892" i="5"/>
  <c r="K883" i="5"/>
  <c r="K880" i="5"/>
  <c r="K881" i="5"/>
  <c r="K871" i="5"/>
  <c r="K863" i="5"/>
  <c r="K860" i="5"/>
  <c r="K859" i="5"/>
  <c r="K854" i="5"/>
  <c r="K852" i="5"/>
  <c r="K837" i="5"/>
  <c r="K831" i="5"/>
  <c r="K822" i="5"/>
  <c r="K820" i="5"/>
  <c r="K818" i="5"/>
  <c r="K816" i="5"/>
  <c r="K808" i="5"/>
  <c r="K811" i="5"/>
  <c r="K810" i="5"/>
  <c r="K1030" i="5"/>
  <c r="K944" i="5"/>
  <c r="K939" i="5"/>
  <c r="K912" i="5"/>
  <c r="K890" i="5"/>
  <c r="K882" i="5"/>
  <c r="K843" i="5"/>
  <c r="K832" i="5"/>
  <c r="K823" i="5"/>
  <c r="K807" i="5"/>
  <c r="K806" i="5"/>
  <c r="K804" i="5"/>
  <c r="K801" i="5"/>
  <c r="K800" i="5"/>
  <c r="K799" i="5"/>
  <c r="K796" i="5"/>
  <c r="K793" i="5"/>
  <c r="K791" i="5"/>
  <c r="K789" i="5"/>
  <c r="K781" i="5"/>
  <c r="K780" i="5"/>
  <c r="K776" i="5"/>
  <c r="K773" i="5"/>
  <c r="K772" i="5"/>
  <c r="K769" i="5"/>
  <c r="K763" i="5"/>
  <c r="K757" i="5"/>
  <c r="K1000" i="5"/>
  <c r="K895" i="5"/>
  <c r="K886" i="5"/>
  <c r="K1027" i="5"/>
  <c r="K915" i="5"/>
  <c r="K899" i="5"/>
  <c r="K893" i="5"/>
  <c r="K876" i="5"/>
  <c r="K867" i="5"/>
  <c r="K864" i="5"/>
  <c r="K861" i="5"/>
  <c r="K851" i="5"/>
  <c r="K838" i="5"/>
  <c r="K833" i="5"/>
  <c r="K829" i="5"/>
  <c r="K819" i="5"/>
  <c r="K795" i="5"/>
  <c r="K792" i="5"/>
  <c r="K790" i="5"/>
  <c r="K777" i="5"/>
  <c r="K778" i="5"/>
  <c r="K759" i="5"/>
  <c r="K752" i="5"/>
  <c r="K742" i="5"/>
  <c r="K740" i="5"/>
  <c r="K739" i="5"/>
  <c r="K733" i="5"/>
  <c r="K732" i="5"/>
  <c r="K730" i="5"/>
  <c r="K728" i="5"/>
  <c r="K726" i="5"/>
  <c r="K724" i="5"/>
  <c r="K719" i="5"/>
  <c r="K718" i="5"/>
  <c r="K714" i="5"/>
  <c r="K709" i="5"/>
  <c r="K708" i="5"/>
  <c r="K707" i="5"/>
  <c r="K699" i="5"/>
  <c r="K697" i="5"/>
  <c r="K694" i="5"/>
  <c r="K691" i="5"/>
  <c r="K689" i="5"/>
  <c r="K687" i="5"/>
  <c r="K667" i="5"/>
  <c r="K660" i="5"/>
  <c r="K652" i="5"/>
  <c r="K645" i="5"/>
  <c r="K643" i="5"/>
  <c r="K640" i="5"/>
  <c r="K634" i="5"/>
  <c r="K631" i="5"/>
  <c r="K610" i="5"/>
  <c r="K603" i="5"/>
  <c r="K591" i="5"/>
  <c r="K590" i="5"/>
  <c r="K583" i="5"/>
  <c r="K575" i="5"/>
  <c r="K572" i="5"/>
  <c r="K569" i="5"/>
  <c r="K566" i="5"/>
  <c r="K562" i="5"/>
  <c r="K995" i="5"/>
  <c r="K969" i="5"/>
  <c r="K955" i="5"/>
  <c r="K943" i="5"/>
  <c r="K913" i="5"/>
  <c r="K885" i="5"/>
  <c r="K858" i="5"/>
  <c r="K824" i="5"/>
  <c r="K817" i="5"/>
  <c r="K805" i="5"/>
  <c r="K798" i="5"/>
  <c r="K788" i="5"/>
  <c r="K786" i="5"/>
  <c r="K784" i="5"/>
  <c r="K779" i="5"/>
  <c r="K771" i="5"/>
  <c r="K768" i="5"/>
  <c r="K764" i="5"/>
  <c r="K761" i="5"/>
  <c r="K744" i="5"/>
  <c r="K731" i="5"/>
  <c r="K729" i="5"/>
  <c r="K725" i="5"/>
  <c r="K716" i="5"/>
  <c r="K712" i="5"/>
  <c r="K704" i="5"/>
  <c r="K701" i="5"/>
  <c r="K696" i="5"/>
  <c r="K695" i="5"/>
  <c r="K692" i="5"/>
  <c r="K685" i="5"/>
  <c r="K682" i="5"/>
  <c r="K678" i="5"/>
  <c r="K672" i="5"/>
  <c r="K662" i="5"/>
  <c r="K656" i="5"/>
  <c r="K655" i="5"/>
  <c r="K651" i="5"/>
  <c r="K648" i="5"/>
  <c r="K642" i="5"/>
  <c r="K641" i="5"/>
  <c r="K638" i="5"/>
  <c r="K629" i="5"/>
  <c r="K627" i="5"/>
  <c r="K625" i="5"/>
  <c r="K622" i="5"/>
  <c r="K621" i="5"/>
  <c r="K615" i="5"/>
  <c r="K614" i="5"/>
  <c r="K609" i="5"/>
  <c r="K599" i="5"/>
  <c r="K594" i="5"/>
  <c r="K592" i="5"/>
  <c r="K570" i="5"/>
  <c r="K568" i="5"/>
  <c r="K563" i="5"/>
  <c r="K559" i="5"/>
  <c r="K552" i="5"/>
  <c r="K544" i="5"/>
  <c r="K542" i="5"/>
  <c r="K540" i="5"/>
  <c r="K537" i="5"/>
  <c r="K531" i="5"/>
  <c r="K530" i="5"/>
  <c r="K527" i="5"/>
  <c r="K525" i="5"/>
  <c r="K514" i="5"/>
  <c r="K513" i="5"/>
  <c r="K498" i="5"/>
  <c r="K485" i="5"/>
  <c r="K991" i="5"/>
  <c r="K897" i="5"/>
  <c r="K889" i="5"/>
  <c r="K865" i="5"/>
  <c r="K853" i="5"/>
  <c r="K814" i="5"/>
  <c r="K794" i="5"/>
  <c r="K785" i="5"/>
  <c r="K783" i="5"/>
  <c r="K782" i="5"/>
  <c r="K775" i="5"/>
  <c r="K774" i="5"/>
  <c r="K758" i="5"/>
  <c r="K754" i="5"/>
  <c r="K747" i="5"/>
  <c r="K738" i="5"/>
  <c r="K741" i="5"/>
  <c r="K736" i="5"/>
  <c r="K721" i="5"/>
  <c r="K717" i="5"/>
  <c r="K715" i="5"/>
  <c r="K683" i="5"/>
  <c r="K684" i="5"/>
  <c r="K680" i="5"/>
  <c r="K676" i="5"/>
  <c r="K675" i="5"/>
  <c r="K668" i="5"/>
  <c r="K665" i="5"/>
  <c r="K664" i="5"/>
  <c r="K663" i="5"/>
  <c r="K659" i="5"/>
  <c r="K653" i="5"/>
  <c r="K649" i="5"/>
  <c r="K647" i="5"/>
  <c r="K646" i="5"/>
  <c r="K644" i="5"/>
  <c r="K626" i="5"/>
  <c r="K624" i="5"/>
  <c r="K618" i="5"/>
  <c r="K613" i="5"/>
  <c r="K608" i="5"/>
  <c r="K606" i="5"/>
  <c r="K605" i="5"/>
  <c r="K604" i="5"/>
  <c r="K601" i="5"/>
  <c r="K597" i="5"/>
  <c r="K595" i="5"/>
  <c r="K588" i="5"/>
  <c r="K581" i="5"/>
  <c r="K561" i="5"/>
  <c r="K564" i="5"/>
  <c r="K555" i="5"/>
  <c r="K551" i="5"/>
  <c r="K549" i="5"/>
  <c r="K547" i="5"/>
  <c r="K545" i="5"/>
  <c r="K541" i="5"/>
  <c r="K539" i="5"/>
  <c r="K526" i="5"/>
  <c r="K520" i="5"/>
  <c r="K518" i="5"/>
  <c r="K516" i="5"/>
  <c r="K510" i="5"/>
  <c r="K503" i="5"/>
  <c r="K499" i="5"/>
  <c r="K496" i="5"/>
  <c r="K492" i="5"/>
  <c r="K488" i="5"/>
  <c r="K487" i="5"/>
  <c r="K481" i="5"/>
  <c r="K480" i="5"/>
  <c r="K478" i="5"/>
  <c r="K476" i="5"/>
  <c r="K474" i="5"/>
  <c r="K473" i="5"/>
  <c r="K471" i="5"/>
  <c r="K468" i="5"/>
  <c r="K467" i="5"/>
  <c r="K465" i="5"/>
  <c r="K459" i="5"/>
  <c r="K446" i="5"/>
  <c r="K1008" i="5"/>
  <c r="K936" i="5"/>
  <c r="K901" i="5"/>
  <c r="K847" i="5"/>
  <c r="K836" i="5"/>
  <c r="K812" i="5"/>
  <c r="K803" i="5"/>
  <c r="K767" i="5"/>
  <c r="K762" i="5"/>
  <c r="K755" i="5"/>
  <c r="K753" i="5"/>
  <c r="K723" i="5"/>
  <c r="K711" i="5"/>
  <c r="K702" i="5"/>
  <c r="K700" i="5"/>
  <c r="K698" i="5"/>
  <c r="K679" i="5"/>
  <c r="K677" i="5"/>
  <c r="K670" i="5"/>
  <c r="K666" i="5"/>
  <c r="K658" i="5"/>
  <c r="K632" i="5"/>
  <c r="K628" i="5"/>
  <c r="K593" i="5"/>
  <c r="K577" i="5"/>
  <c r="K567" i="5"/>
  <c r="K554" i="5"/>
  <c r="K543" i="5"/>
  <c r="K538" i="5"/>
  <c r="K528" i="5"/>
  <c r="K524" i="5"/>
  <c r="K519" i="5"/>
  <c r="K508" i="5"/>
  <c r="K501" i="5"/>
  <c r="K500" i="5"/>
  <c r="K493" i="5"/>
  <c r="K489" i="5"/>
  <c r="K472" i="5"/>
  <c r="K469" i="5"/>
  <c r="K466" i="5"/>
  <c r="K464" i="5"/>
  <c r="K462" i="5"/>
  <c r="K456" i="5"/>
  <c r="K455" i="5"/>
  <c r="K450" i="5"/>
  <c r="K448" i="5"/>
  <c r="K440" i="5"/>
  <c r="K438" i="5"/>
  <c r="K437" i="5"/>
  <c r="K432" i="5"/>
  <c r="K430" i="5"/>
  <c r="K428" i="5"/>
  <c r="K415" i="5"/>
  <c r="K411" i="5"/>
  <c r="K405" i="5"/>
  <c r="K402" i="5"/>
  <c r="K394" i="5"/>
  <c r="K392" i="5"/>
  <c r="K389" i="5"/>
  <c r="K390" i="5"/>
  <c r="K380" i="5"/>
  <c r="K372" i="5"/>
  <c r="K378" i="5"/>
  <c r="K375" i="5"/>
  <c r="K373" i="5"/>
  <c r="K370" i="5"/>
  <c r="K369" i="5"/>
  <c r="K359" i="5"/>
  <c r="K356" i="5"/>
  <c r="K354" i="5"/>
  <c r="K352" i="5"/>
  <c r="K351" i="5"/>
  <c r="K347" i="5"/>
  <c r="K343" i="5"/>
  <c r="K338" i="5"/>
  <c r="K337" i="5"/>
  <c r="K332" i="5"/>
  <c r="K324" i="5"/>
  <c r="K319" i="5"/>
  <c r="K320" i="5"/>
  <c r="K317" i="5"/>
  <c r="K314" i="5"/>
  <c r="K310" i="5"/>
  <c r="K308" i="5"/>
  <c r="K306" i="5"/>
  <c r="K301" i="5"/>
  <c r="K300" i="5"/>
  <c r="K294" i="5"/>
  <c r="K292" i="5"/>
  <c r="K290" i="5"/>
  <c r="K283" i="5"/>
  <c r="K284" i="5"/>
  <c r="K281" i="5"/>
  <c r="K268" i="5"/>
  <c r="K265" i="5"/>
  <c r="K261" i="5"/>
  <c r="K251" i="5"/>
  <c r="K250" i="5"/>
  <c r="K241" i="5"/>
  <c r="K236" i="5"/>
  <c r="K235" i="5"/>
  <c r="K228" i="5"/>
  <c r="K223" i="5"/>
  <c r="K214" i="5"/>
  <c r="K210" i="5"/>
  <c r="K205" i="5"/>
  <c r="K190" i="5"/>
  <c r="K188" i="5"/>
  <c r="K183" i="5"/>
  <c r="K184" i="5"/>
  <c r="K175" i="5"/>
  <c r="K174" i="5"/>
  <c r="K171" i="5"/>
  <c r="K170" i="5"/>
  <c r="K164" i="5"/>
  <c r="K156" i="5"/>
  <c r="K154" i="5"/>
  <c r="K152" i="5"/>
  <c r="K150" i="5"/>
  <c r="K143" i="5"/>
  <c r="K141" i="5"/>
  <c r="K139" i="5"/>
  <c r="K137" i="5"/>
  <c r="K132" i="5"/>
  <c r="K123" i="5"/>
  <c r="K116" i="5"/>
  <c r="K105" i="5"/>
  <c r="K99" i="5"/>
  <c r="K96" i="5"/>
  <c r="K93" i="5"/>
  <c r="K88" i="5"/>
  <c r="K87" i="5"/>
  <c r="K85" i="5"/>
  <c r="K79" i="5"/>
  <c r="K78" i="5"/>
  <c r="K75" i="5"/>
  <c r="K875" i="5"/>
  <c r="K849" i="5"/>
  <c r="K815" i="5"/>
  <c r="K802" i="5"/>
  <c r="K770" i="5"/>
  <c r="K756" i="5"/>
  <c r="K751" i="5"/>
  <c r="K745" i="5"/>
  <c r="K743" i="5"/>
  <c r="K727" i="5"/>
  <c r="K713" i="5"/>
  <c r="K703" i="5"/>
  <c r="K681" i="5"/>
  <c r="K674" i="5"/>
  <c r="K669" i="5"/>
  <c r="K636" i="5"/>
  <c r="K623" i="5"/>
  <c r="K617" i="5"/>
  <c r="K602" i="5"/>
  <c r="K600" i="5"/>
  <c r="K596" i="5"/>
  <c r="K589" i="5"/>
  <c r="K587" i="5"/>
  <c r="K585" i="5"/>
  <c r="K580" i="5"/>
  <c r="K576" i="5"/>
  <c r="K574" i="5"/>
  <c r="K558" i="5"/>
  <c r="K546" i="5"/>
  <c r="K536" i="5"/>
  <c r="K534" i="5"/>
  <c r="K515" i="5"/>
  <c r="K511" i="5"/>
  <c r="K504" i="5"/>
  <c r="K502" i="5"/>
  <c r="K494" i="5"/>
  <c r="K483" i="5"/>
  <c r="K479" i="5"/>
  <c r="K463" i="5"/>
  <c r="K458" i="5"/>
  <c r="K454" i="5"/>
  <c r="K452" i="5"/>
  <c r="K451" i="5"/>
  <c r="K442" i="5"/>
  <c r="K445" i="5"/>
  <c r="K444" i="5"/>
  <c r="K431" i="5"/>
  <c r="K424" i="5"/>
  <c r="K422" i="5"/>
  <c r="K414" i="5"/>
  <c r="K407" i="5"/>
  <c r="K404" i="5"/>
  <c r="K397" i="5"/>
  <c r="K385" i="5"/>
  <c r="K382" i="5"/>
  <c r="K379" i="5"/>
  <c r="K377" i="5"/>
  <c r="K376" i="5"/>
  <c r="K364" i="5"/>
  <c r="K362" i="5"/>
  <c r="K360" i="5"/>
  <c r="K358" i="5"/>
  <c r="K355" i="5"/>
  <c r="K353" i="5"/>
  <c r="K349" i="5"/>
  <c r="K345" i="5"/>
  <c r="K342" i="5"/>
  <c r="K336" i="5"/>
  <c r="K335" i="5"/>
  <c r="K331" i="5"/>
  <c r="K326" i="5"/>
  <c r="K325" i="5"/>
  <c r="K315" i="5"/>
  <c r="K307" i="5"/>
  <c r="K316" i="5"/>
  <c r="K309" i="5"/>
  <c r="K302" i="5"/>
  <c r="K289" i="5"/>
  <c r="K291" i="5"/>
  <c r="K288" i="5"/>
  <c r="K285" i="5"/>
  <c r="K274" i="5"/>
  <c r="K273" i="5"/>
  <c r="K272" i="5"/>
  <c r="K264" i="5"/>
  <c r="K260" i="5"/>
  <c r="K258" i="5"/>
  <c r="K256" i="5"/>
  <c r="K254" i="5"/>
  <c r="K253" i="5"/>
  <c r="K252" i="5"/>
  <c r="K243" i="5"/>
  <c r="K240" i="5"/>
  <c r="K238" i="5"/>
  <c r="K237" i="5"/>
  <c r="K234" i="5"/>
  <c r="K233" i="5"/>
  <c r="K232" i="5"/>
  <c r="K216" i="5"/>
  <c r="K213" i="5"/>
  <c r="K209" i="5"/>
  <c r="K208" i="5"/>
  <c r="K198" i="5"/>
  <c r="K197" i="5"/>
  <c r="K195" i="5"/>
  <c r="K194" i="5"/>
  <c r="K193" i="5"/>
  <c r="K189" i="5"/>
  <c r="K181" i="5"/>
  <c r="K179" i="5"/>
  <c r="K176" i="5"/>
  <c r="K169" i="5"/>
  <c r="K151" i="5"/>
  <c r="K149" i="5"/>
  <c r="K147" i="5"/>
  <c r="K145" i="5"/>
  <c r="K142" i="5"/>
  <c r="K138" i="5"/>
  <c r="K134" i="5"/>
  <c r="K133" i="5"/>
  <c r="K128" i="5"/>
  <c r="K127" i="5"/>
  <c r="K125" i="5"/>
  <c r="K122" i="5"/>
  <c r="K119" i="5"/>
  <c r="K117" i="5"/>
  <c r="K115" i="5"/>
  <c r="K114" i="5"/>
  <c r="K113" i="5"/>
  <c r="K111" i="5"/>
  <c r="K109" i="5"/>
  <c r="K104" i="5"/>
  <c r="K103" i="5"/>
  <c r="K101" i="5"/>
  <c r="K100" i="5"/>
  <c r="K92" i="5"/>
  <c r="K89" i="5"/>
  <c r="K84" i="5"/>
  <c r="K80" i="5"/>
  <c r="K71" i="5"/>
  <c r="K67" i="5"/>
  <c r="K63" i="5"/>
  <c r="K869" i="5"/>
  <c r="K813" i="5"/>
  <c r="K734" i="5"/>
  <c r="K710" i="5"/>
  <c r="K693" i="5"/>
  <c r="K688" i="5"/>
  <c r="K654" i="5"/>
  <c r="K637" i="5"/>
  <c r="K633" i="5"/>
  <c r="K619" i="5"/>
  <c r="K616" i="5"/>
  <c r="K586" i="5"/>
  <c r="K578" i="5"/>
  <c r="K573" i="5"/>
  <c r="K560" i="5"/>
  <c r="K557" i="5"/>
  <c r="K553" i="5"/>
  <c r="K548" i="5"/>
  <c r="K533" i="5"/>
  <c r="K535" i="5"/>
  <c r="K522" i="5"/>
  <c r="K509" i="5"/>
  <c r="K506" i="5"/>
  <c r="K490" i="5"/>
  <c r="K486" i="5"/>
  <c r="K484" i="5"/>
  <c r="K482" i="5"/>
  <c r="K443" i="5"/>
  <c r="K439" i="5"/>
  <c r="K433" i="5"/>
  <c r="K426" i="5"/>
  <c r="K418" i="5"/>
  <c r="K416" i="5"/>
  <c r="K410" i="5"/>
  <c r="K408" i="5"/>
  <c r="K400" i="5"/>
  <c r="K396" i="5"/>
  <c r="K395" i="5"/>
  <c r="K387" i="5"/>
  <c r="K384" i="5"/>
  <c r="K381" i="5"/>
  <c r="K374" i="5"/>
  <c r="K363" i="5"/>
  <c r="K340" i="5"/>
  <c r="K329" i="5"/>
  <c r="K297" i="5"/>
  <c r="K280" i="5"/>
  <c r="K276" i="5"/>
  <c r="K270" i="5"/>
  <c r="K269" i="5"/>
  <c r="K267" i="5"/>
  <c r="K259" i="5"/>
  <c r="K257" i="5"/>
  <c r="K231" i="5"/>
  <c r="K229" i="5"/>
  <c r="K225" i="5"/>
  <c r="K224" i="5"/>
  <c r="K222" i="5"/>
  <c r="K219" i="5"/>
  <c r="K211" i="5"/>
  <c r="K204" i="5"/>
  <c r="K203" i="5"/>
  <c r="K177" i="5"/>
  <c r="K168" i="5"/>
  <c r="K165" i="5"/>
  <c r="K163" i="5"/>
  <c r="K160" i="5"/>
  <c r="K158" i="5"/>
  <c r="K153" i="5"/>
  <c r="K131" i="5"/>
  <c r="K120" i="5"/>
  <c r="K118" i="5"/>
  <c r="K112" i="5"/>
  <c r="K107" i="5"/>
  <c r="K98" i="5"/>
  <c r="K72" i="5"/>
  <c r="K70" i="5"/>
  <c r="K66" i="5"/>
  <c r="K61" i="5"/>
  <c r="K55" i="5"/>
  <c r="K54" i="5"/>
  <c r="K36" i="5"/>
  <c r="K34" i="5"/>
  <c r="K571" i="5"/>
  <c r="K556" i="5"/>
  <c r="K550" i="5"/>
  <c r="K523" i="5"/>
  <c r="K505" i="5"/>
  <c r="K497" i="5"/>
  <c r="K475" i="5"/>
  <c r="K460" i="5"/>
  <c r="K447" i="5"/>
  <c r="K412" i="5"/>
  <c r="K403" i="5"/>
  <c r="K399" i="5"/>
  <c r="K391" i="5"/>
  <c r="K365" i="5"/>
  <c r="K361" i="5"/>
  <c r="K344" i="5"/>
  <c r="K327" i="5"/>
  <c r="K311" i="5"/>
  <c r="K303" i="5"/>
  <c r="K295" i="5"/>
  <c r="K287" i="5"/>
  <c r="K266" i="5"/>
  <c r="K263" i="5"/>
  <c r="K245" i="5"/>
  <c r="K218" i="5"/>
  <c r="K202" i="5"/>
  <c r="K196" i="5"/>
  <c r="K186" i="5"/>
  <c r="K180" i="5"/>
  <c r="K167" i="5"/>
  <c r="K136" i="5"/>
  <c r="K130" i="5"/>
  <c r="K124" i="5"/>
  <c r="K108" i="5"/>
  <c r="K97" i="5"/>
  <c r="K58" i="5"/>
  <c r="K50" i="5"/>
  <c r="K48" i="5"/>
  <c r="K909" i="5"/>
  <c r="K760" i="5"/>
  <c r="K749" i="5"/>
  <c r="K630" i="5"/>
  <c r="K579" i="5"/>
  <c r="K517" i="5"/>
  <c r="K453" i="5"/>
  <c r="K441" i="5"/>
  <c r="K435" i="5"/>
  <c r="K429" i="5"/>
  <c r="K419" i="5"/>
  <c r="K413" i="5"/>
  <c r="K368" i="5"/>
  <c r="K339" i="5"/>
  <c r="K323" i="5"/>
  <c r="K304" i="5"/>
  <c r="K249" i="5"/>
  <c r="K242" i="5"/>
  <c r="K227" i="5"/>
  <c r="K221" i="5"/>
  <c r="K212" i="5"/>
  <c r="K199" i="5"/>
  <c r="K191" i="5"/>
  <c r="K841" i="5"/>
  <c r="K797" i="5"/>
  <c r="K750" i="5"/>
  <c r="K748" i="5"/>
  <c r="K735" i="5"/>
  <c r="K722" i="5"/>
  <c r="K705" i="5"/>
  <c r="K671" i="5"/>
  <c r="K650" i="5"/>
  <c r="K620" i="5"/>
  <c r="K611" i="5"/>
  <c r="K607" i="5"/>
  <c r="K598" i="5"/>
  <c r="K582" i="5"/>
  <c r="K565" i="5"/>
  <c r="K532" i="5"/>
  <c r="K529" i="5"/>
  <c r="K512" i="5"/>
  <c r="K495" i="5"/>
  <c r="K491" i="5"/>
  <c r="K477" i="5"/>
  <c r="K461" i="5"/>
  <c r="K457" i="5"/>
  <c r="K427" i="5"/>
  <c r="K425" i="5"/>
  <c r="K421" i="5"/>
  <c r="K409" i="5"/>
  <c r="K406" i="5"/>
  <c r="K401" i="5"/>
  <c r="K393" i="5"/>
  <c r="K388" i="5"/>
  <c r="K371" i="5"/>
  <c r="K350" i="5"/>
  <c r="K348" i="5"/>
  <c r="K341" i="5"/>
  <c r="K330" i="5"/>
  <c r="K318" i="5"/>
  <c r="K299" i="5"/>
  <c r="K296" i="5"/>
  <c r="K275" i="5"/>
  <c r="K278" i="5"/>
  <c r="K271" i="5"/>
  <c r="K262" i="5"/>
  <c r="K247" i="5"/>
  <c r="K246" i="5"/>
  <c r="K230" i="5"/>
  <c r="K220" i="5"/>
  <c r="K217" i="5"/>
  <c r="K207" i="5"/>
  <c r="K200" i="5"/>
  <c r="K201" i="5"/>
  <c r="K192" i="5"/>
  <c r="K166" i="5"/>
  <c r="K161" i="5"/>
  <c r="K159" i="5"/>
  <c r="K155" i="5"/>
  <c r="K144" i="5"/>
  <c r="K140" i="5"/>
  <c r="K129" i="5"/>
  <c r="K126" i="5"/>
  <c r="K121" i="5"/>
  <c r="K110" i="5"/>
  <c r="K95" i="5"/>
  <c r="K94" i="5"/>
  <c r="K91" i="5"/>
  <c r="K86" i="5"/>
  <c r="K73" i="5"/>
  <c r="K69" i="5"/>
  <c r="K65" i="5"/>
  <c r="K62" i="5"/>
  <c r="K59" i="5"/>
  <c r="K52" i="5"/>
  <c r="K51" i="5"/>
  <c r="K49" i="5"/>
  <c r="K46" i="5"/>
  <c r="K45" i="5"/>
  <c r="K39" i="5"/>
  <c r="K37" i="5"/>
  <c r="K33" i="5"/>
  <c r="K949" i="5"/>
  <c r="K766" i="5"/>
  <c r="K690" i="5"/>
  <c r="K686" i="5"/>
  <c r="K673" i="5"/>
  <c r="K661" i="5"/>
  <c r="K657" i="5"/>
  <c r="K639" i="5"/>
  <c r="K612" i="5"/>
  <c r="K521" i="5"/>
  <c r="K470" i="5"/>
  <c r="K449" i="5"/>
  <c r="K366" i="5"/>
  <c r="K346" i="5"/>
  <c r="K334" i="5"/>
  <c r="K328" i="5"/>
  <c r="K321" i="5"/>
  <c r="K282" i="5"/>
  <c r="K279" i="5"/>
  <c r="K255" i="5"/>
  <c r="K244" i="5"/>
  <c r="K239" i="5"/>
  <c r="K215" i="5"/>
  <c r="K146" i="5"/>
  <c r="K135" i="5"/>
  <c r="K102" i="5"/>
  <c r="K81" i="5"/>
  <c r="K76" i="5"/>
  <c r="K74" i="5"/>
  <c r="K56" i="5"/>
  <c r="K53" i="5"/>
  <c r="K43" i="5"/>
  <c r="K38" i="5"/>
  <c r="K948" i="5"/>
  <c r="K809" i="5"/>
  <c r="K787" i="5"/>
  <c r="K765" i="5"/>
  <c r="K746" i="5"/>
  <c r="K737" i="5"/>
  <c r="K720" i="5"/>
  <c r="K706" i="5"/>
  <c r="K635" i="5"/>
  <c r="K584" i="5"/>
  <c r="K507" i="5"/>
  <c r="K436" i="5"/>
  <c r="K434" i="5"/>
  <c r="K423" i="5"/>
  <c r="K420" i="5"/>
  <c r="K417" i="5"/>
  <c r="K398" i="5"/>
  <c r="K386" i="5"/>
  <c r="K383" i="5"/>
  <c r="K367" i="5"/>
  <c r="K357" i="5"/>
  <c r="K333" i="5"/>
  <c r="K322" i="5"/>
  <c r="K313" i="5"/>
  <c r="K312" i="5"/>
  <c r="K305" i="5"/>
  <c r="K298" i="5"/>
  <c r="K293" i="5"/>
  <c r="K286" i="5"/>
  <c r="K277" i="5"/>
  <c r="K248" i="5"/>
  <c r="K226" i="5"/>
  <c r="K206" i="5"/>
  <c r="K187" i="5"/>
  <c r="K185" i="5"/>
  <c r="K148" i="5"/>
  <c r="K68" i="5"/>
  <c r="K35" i="5"/>
  <c r="K178" i="5"/>
  <c r="K41" i="5"/>
  <c r="K40" i="5"/>
  <c r="K173" i="5"/>
  <c r="K162" i="5"/>
  <c r="K77" i="5"/>
  <c r="K64" i="5"/>
  <c r="K60" i="5"/>
  <c r="K57" i="5"/>
  <c r="K44" i="5"/>
  <c r="K42" i="5"/>
  <c r="K90" i="5"/>
  <c r="K83" i="5"/>
  <c r="K172" i="5"/>
  <c r="K157" i="5"/>
  <c r="K106" i="5"/>
  <c r="K82" i="5"/>
  <c r="K182" i="5"/>
  <c r="K47" i="5"/>
  <c r="J31" i="5"/>
  <c r="K16" i="5"/>
  <c r="J77" i="7" s="1"/>
  <c r="J16" i="5"/>
  <c r="I77" i="7" s="1"/>
  <c r="K31" i="5"/>
  <c r="J13" i="7"/>
  <c r="K79" i="7"/>
  <c r="L79" i="7"/>
  <c r="M18" i="5" s="1"/>
  <c r="K11" i="7"/>
  <c r="L11" i="7"/>
  <c r="M1029" i="5" l="1"/>
  <c r="M1026" i="5"/>
  <c r="M1002" i="5"/>
  <c r="M999" i="5"/>
  <c r="M995" i="5"/>
  <c r="M991" i="5"/>
  <c r="M985" i="5"/>
  <c r="M976" i="5"/>
  <c r="M975" i="5"/>
  <c r="M1031" i="5"/>
  <c r="M1023" i="5"/>
  <c r="M1021" i="5"/>
  <c r="M1020" i="5"/>
  <c r="M1019" i="5"/>
  <c r="M1018" i="5"/>
  <c r="M1015" i="5"/>
  <c r="M1016" i="5"/>
  <c r="M1008" i="5"/>
  <c r="M998" i="5"/>
  <c r="M996" i="5"/>
  <c r="M993" i="5"/>
  <c r="M994" i="5"/>
  <c r="M988" i="5"/>
  <c r="M989" i="5"/>
  <c r="M987" i="5"/>
  <c r="M982" i="5"/>
  <c r="M980" i="5"/>
  <c r="M981" i="5"/>
  <c r="M979" i="5"/>
  <c r="M972" i="5"/>
  <c r="M1028" i="5"/>
  <c r="M1009" i="5"/>
  <c r="M1007" i="5"/>
  <c r="M1001" i="5"/>
  <c r="M990" i="5"/>
  <c r="M986" i="5"/>
  <c r="M971" i="5"/>
  <c r="M965" i="5"/>
  <c r="M961" i="5"/>
  <c r="M958" i="5"/>
  <c r="M957" i="5"/>
  <c r="M954" i="5"/>
  <c r="M944" i="5"/>
  <c r="M946" i="5"/>
  <c r="M942" i="5"/>
  <c r="M941" i="5"/>
  <c r="M940" i="5"/>
  <c r="M933" i="5"/>
  <c r="M32" i="5"/>
  <c r="M1025" i="5"/>
  <c r="M1017" i="5"/>
  <c r="M1012" i="5"/>
  <c r="M1013" i="5"/>
  <c r="M1004" i="5"/>
  <c r="M997" i="5"/>
  <c r="M978" i="5"/>
  <c r="M973" i="5"/>
  <c r="M970" i="5"/>
  <c r="M966" i="5"/>
  <c r="M962" i="5"/>
  <c r="M950" i="5"/>
  <c r="M948" i="5"/>
  <c r="M943" i="5"/>
  <c r="M939" i="5"/>
  <c r="M937" i="5"/>
  <c r="M936" i="5"/>
  <c r="M930" i="5"/>
  <c r="M925" i="5"/>
  <c r="M920" i="5"/>
  <c r="M917" i="5"/>
  <c r="M913" i="5"/>
  <c r="M911" i="5"/>
  <c r="M901" i="5"/>
  <c r="M1003" i="5"/>
  <c r="M964" i="5"/>
  <c r="M960" i="5"/>
  <c r="M959" i="5"/>
  <c r="M956" i="5"/>
  <c r="M953" i="5"/>
  <c r="M952" i="5"/>
  <c r="M945" i="5"/>
  <c r="M921" i="5"/>
  <c r="M915" i="5"/>
  <c r="M914" i="5"/>
  <c r="M912" i="5"/>
  <c r="M909" i="5"/>
  <c r="M905" i="5"/>
  <c r="M906" i="5"/>
  <c r="M900" i="5"/>
  <c r="M897" i="5"/>
  <c r="M896" i="5"/>
  <c r="M891" i="5"/>
  <c r="M882" i="5"/>
  <c r="M881" i="5"/>
  <c r="M872" i="5"/>
  <c r="M874" i="5"/>
  <c r="M871" i="5"/>
  <c r="M866" i="5"/>
  <c r="M863" i="5"/>
  <c r="M856" i="5"/>
  <c r="M854" i="5"/>
  <c r="M858" i="5"/>
  <c r="M850" i="5"/>
  <c r="M848" i="5"/>
  <c r="M847" i="5"/>
  <c r="M845" i="5"/>
  <c r="M843" i="5"/>
  <c r="M841" i="5"/>
  <c r="M840" i="5"/>
  <c r="M836" i="5"/>
  <c r="M835" i="5"/>
  <c r="M832" i="5"/>
  <c r="M830" i="5"/>
  <c r="M829" i="5"/>
  <c r="M1030" i="5"/>
  <c r="M1022" i="5"/>
  <c r="M1010" i="5"/>
  <c r="M1006" i="5"/>
  <c r="M1000" i="5"/>
  <c r="M983" i="5"/>
  <c r="M974" i="5"/>
  <c r="M968" i="5"/>
  <c r="M935" i="5"/>
  <c r="M932" i="5"/>
  <c r="M929" i="5"/>
  <c r="M928" i="5"/>
  <c r="M923" i="5"/>
  <c r="M919" i="5"/>
  <c r="M916" i="5"/>
  <c r="M910" i="5"/>
  <c r="M898" i="5"/>
  <c r="M889" i="5"/>
  <c r="M886" i="5"/>
  <c r="M885" i="5"/>
  <c r="M879" i="5"/>
  <c r="M877" i="5"/>
  <c r="M875" i="5"/>
  <c r="M873" i="5"/>
  <c r="M870" i="5"/>
  <c r="M865" i="5"/>
  <c r="M864" i="5"/>
  <c r="M855" i="5"/>
  <c r="M853" i="5"/>
  <c r="M852" i="5"/>
  <c r="M849" i="5"/>
  <c r="M837" i="5"/>
  <c r="M827" i="5"/>
  <c r="M1024" i="5"/>
  <c r="M1005" i="5"/>
  <c r="M967" i="5"/>
  <c r="M955" i="5"/>
  <c r="M947" i="5"/>
  <c r="M938" i="5"/>
  <c r="M902" i="5"/>
  <c r="M890" i="5"/>
  <c r="M888" i="5"/>
  <c r="M868" i="5"/>
  <c r="M859" i="5"/>
  <c r="M846" i="5"/>
  <c r="M844" i="5"/>
  <c r="M834" i="5"/>
  <c r="M831" i="5"/>
  <c r="M820" i="5"/>
  <c r="M819" i="5"/>
  <c r="M812" i="5"/>
  <c r="M809" i="5"/>
  <c r="M808" i="5"/>
  <c r="M806" i="5"/>
  <c r="M804" i="5"/>
  <c r="M800" i="5"/>
  <c r="M1011" i="5"/>
  <c r="M992" i="5"/>
  <c r="M984" i="5"/>
  <c r="M977" i="5"/>
  <c r="M963" i="5"/>
  <c r="M934" i="5"/>
  <c r="M931" i="5"/>
  <c r="M927" i="5"/>
  <c r="M908" i="5"/>
  <c r="M904" i="5"/>
  <c r="M895" i="5"/>
  <c r="M894" i="5"/>
  <c r="M880" i="5"/>
  <c r="M878" i="5"/>
  <c r="M860" i="5"/>
  <c r="M857" i="5"/>
  <c r="M842" i="5"/>
  <c r="M833" i="5"/>
  <c r="M828" i="5"/>
  <c r="M826" i="5"/>
  <c r="M822" i="5"/>
  <c r="M815" i="5"/>
  <c r="M817" i="5"/>
  <c r="M816" i="5"/>
  <c r="M814" i="5"/>
  <c r="M811" i="5"/>
  <c r="M803" i="5"/>
  <c r="M802" i="5"/>
  <c r="M798" i="5"/>
  <c r="M795" i="5"/>
  <c r="M792" i="5"/>
  <c r="M786" i="5"/>
  <c r="M785" i="5"/>
  <c r="M784" i="5"/>
  <c r="M780" i="5"/>
  <c r="M778" i="5"/>
  <c r="M775" i="5"/>
  <c r="M770" i="5"/>
  <c r="M764" i="5"/>
  <c r="M760" i="5"/>
  <c r="M758" i="5"/>
  <c r="M1027" i="5"/>
  <c r="M949" i="5"/>
  <c r="M918" i="5"/>
  <c r="M903" i="5"/>
  <c r="M892" i="5"/>
  <c r="M876" i="5"/>
  <c r="M861" i="5"/>
  <c r="M838" i="5"/>
  <c r="M1014" i="5"/>
  <c r="M951" i="5"/>
  <c r="M924" i="5"/>
  <c r="M907" i="5"/>
  <c r="M899" i="5"/>
  <c r="M883" i="5"/>
  <c r="M869" i="5"/>
  <c r="M825" i="5"/>
  <c r="M813" i="5"/>
  <c r="M810" i="5"/>
  <c r="M805" i="5"/>
  <c r="M801" i="5"/>
  <c r="M776" i="5"/>
  <c r="M769" i="5"/>
  <c r="M768" i="5"/>
  <c r="M761" i="5"/>
  <c r="M754" i="5"/>
  <c r="M751" i="5"/>
  <c r="M742" i="5"/>
  <c r="M743" i="5"/>
  <c r="M739" i="5"/>
  <c r="M734" i="5"/>
  <c r="M730" i="5"/>
  <c r="M728" i="5"/>
  <c r="M726" i="5"/>
  <c r="M720" i="5"/>
  <c r="M715" i="5"/>
  <c r="M713" i="5"/>
  <c r="M712" i="5"/>
  <c r="M711" i="5"/>
  <c r="M706" i="5"/>
  <c r="M703" i="5"/>
  <c r="M700" i="5"/>
  <c r="M697" i="5"/>
  <c r="M694" i="5"/>
  <c r="M695" i="5"/>
  <c r="M685" i="5"/>
  <c r="M684" i="5"/>
  <c r="M682" i="5"/>
  <c r="M679" i="5"/>
  <c r="M681" i="5"/>
  <c r="M676" i="5"/>
  <c r="M671" i="5"/>
  <c r="M673" i="5"/>
  <c r="M659" i="5"/>
  <c r="M657" i="5"/>
  <c r="M655" i="5"/>
  <c r="M653" i="5"/>
  <c r="M649" i="5"/>
  <c r="M646" i="5"/>
  <c r="M644" i="5"/>
  <c r="M642" i="5"/>
  <c r="M640" i="5"/>
  <c r="M638" i="5"/>
  <c r="M637" i="5"/>
  <c r="M630" i="5"/>
  <c r="M626" i="5"/>
  <c r="M625" i="5"/>
  <c r="M622" i="5"/>
  <c r="M621" i="5"/>
  <c r="M615" i="5"/>
  <c r="M602" i="5"/>
  <c r="M600" i="5"/>
  <c r="M597" i="5"/>
  <c r="M596" i="5"/>
  <c r="M595" i="5"/>
  <c r="M593" i="5"/>
  <c r="M591" i="5"/>
  <c r="M578" i="5"/>
  <c r="M574" i="5"/>
  <c r="M569" i="5"/>
  <c r="M839" i="5"/>
  <c r="M797" i="5"/>
  <c r="M781" i="5"/>
  <c r="M774" i="5"/>
  <c r="M765" i="5"/>
  <c r="M763" i="5"/>
  <c r="M744" i="5"/>
  <c r="M749" i="5"/>
  <c r="M747" i="5"/>
  <c r="M745" i="5"/>
  <c r="M738" i="5"/>
  <c r="M736" i="5"/>
  <c r="M727" i="5"/>
  <c r="M725" i="5"/>
  <c r="M722" i="5"/>
  <c r="M719" i="5"/>
  <c r="M707" i="5"/>
  <c r="M701" i="5"/>
  <c r="M687" i="5"/>
  <c r="M678" i="5"/>
  <c r="M670" i="5"/>
  <c r="M667" i="5"/>
  <c r="M663" i="5"/>
  <c r="M647" i="5"/>
  <c r="M636" i="5"/>
  <c r="M635" i="5"/>
  <c r="M634" i="5"/>
  <c r="M633" i="5"/>
  <c r="M624" i="5"/>
  <c r="M620" i="5"/>
  <c r="M619" i="5"/>
  <c r="M618" i="5"/>
  <c r="M606" i="5"/>
  <c r="M587" i="5"/>
  <c r="M577" i="5"/>
  <c r="M576" i="5"/>
  <c r="M573" i="5"/>
  <c r="M572" i="5"/>
  <c r="M563" i="5"/>
  <c r="M560" i="5"/>
  <c r="M558" i="5"/>
  <c r="M554" i="5"/>
  <c r="M550" i="5"/>
  <c r="M553" i="5"/>
  <c r="M551" i="5"/>
  <c r="M548" i="5"/>
  <c r="M547" i="5"/>
  <c r="M545" i="5"/>
  <c r="M534" i="5"/>
  <c r="M530" i="5"/>
  <c r="M526" i="5"/>
  <c r="M516" i="5"/>
  <c r="M506" i="5"/>
  <c r="M505" i="5"/>
  <c r="M503" i="5"/>
  <c r="M499" i="5"/>
  <c r="M496" i="5"/>
  <c r="M494" i="5"/>
  <c r="M493" i="5"/>
  <c r="M491" i="5"/>
  <c r="M969" i="5"/>
  <c r="M884" i="5"/>
  <c r="M823" i="5"/>
  <c r="M793" i="5"/>
  <c r="M789" i="5"/>
  <c r="M779" i="5"/>
  <c r="M771" i="5"/>
  <c r="M767" i="5"/>
  <c r="M766" i="5"/>
  <c r="M757" i="5"/>
  <c r="M755" i="5"/>
  <c r="M752" i="5"/>
  <c r="M750" i="5"/>
  <c r="M746" i="5"/>
  <c r="M740" i="5"/>
  <c r="M735" i="5"/>
  <c r="M724" i="5"/>
  <c r="M723" i="5"/>
  <c r="M709" i="5"/>
  <c r="M704" i="5"/>
  <c r="M702" i="5"/>
  <c r="M699" i="5"/>
  <c r="M698" i="5"/>
  <c r="M691" i="5"/>
  <c r="M689" i="5"/>
  <c r="M686" i="5"/>
  <c r="M675" i="5"/>
  <c r="M677" i="5"/>
  <c r="M672" i="5"/>
  <c r="M666" i="5"/>
  <c r="M665" i="5"/>
  <c r="M664" i="5"/>
  <c r="M654" i="5"/>
  <c r="M651" i="5"/>
  <c r="M645" i="5"/>
  <c r="M643" i="5"/>
  <c r="M641" i="5"/>
  <c r="M616" i="5"/>
  <c r="M613" i="5"/>
  <c r="M612" i="5"/>
  <c r="M610" i="5"/>
  <c r="M608" i="5"/>
  <c r="M604" i="5"/>
  <c r="M598" i="5"/>
  <c r="M589" i="5"/>
  <c r="M584" i="5"/>
  <c r="M580" i="5"/>
  <c r="M579" i="5"/>
  <c r="M571" i="5"/>
  <c r="M566" i="5"/>
  <c r="M561" i="5"/>
  <c r="M562" i="5"/>
  <c r="M559" i="5"/>
  <c r="M556" i="5"/>
  <c r="M543" i="5"/>
  <c r="M541" i="5"/>
  <c r="M538" i="5"/>
  <c r="M537" i="5"/>
  <c r="M532" i="5"/>
  <c r="M527" i="5"/>
  <c r="M524" i="5"/>
  <c r="M522" i="5"/>
  <c r="M512" i="5"/>
  <c r="M511" i="5"/>
  <c r="M508" i="5"/>
  <c r="M502" i="5"/>
  <c r="M486" i="5"/>
  <c r="M483" i="5"/>
  <c r="M477" i="5"/>
  <c r="M476" i="5"/>
  <c r="M472" i="5"/>
  <c r="M469" i="5"/>
  <c r="M459" i="5"/>
  <c r="M456" i="5"/>
  <c r="M450" i="5"/>
  <c r="M449" i="5"/>
  <c r="M444" i="5"/>
  <c r="M446" i="5"/>
  <c r="M445" i="5"/>
  <c r="M443" i="5"/>
  <c r="M442" i="5"/>
  <c r="M887" i="5"/>
  <c r="M799" i="5"/>
  <c r="M796" i="5"/>
  <c r="M788" i="5"/>
  <c r="M782" i="5"/>
  <c r="M772" i="5"/>
  <c r="M759" i="5"/>
  <c r="M741" i="5"/>
  <c r="M737" i="5"/>
  <c r="M732" i="5"/>
  <c r="M729" i="5"/>
  <c r="M718" i="5"/>
  <c r="M705" i="5"/>
  <c r="M690" i="5"/>
  <c r="M656" i="5"/>
  <c r="M611" i="5"/>
  <c r="M609" i="5"/>
  <c r="M590" i="5"/>
  <c r="M586" i="5"/>
  <c r="M585" i="5"/>
  <c r="M581" i="5"/>
  <c r="M568" i="5"/>
  <c r="M565" i="5"/>
  <c r="M555" i="5"/>
  <c r="M523" i="5"/>
  <c r="M517" i="5"/>
  <c r="M507" i="5"/>
  <c r="M484" i="5"/>
  <c r="M485" i="5"/>
  <c r="M480" i="5"/>
  <c r="M475" i="5"/>
  <c r="M473" i="5"/>
  <c r="M471" i="5"/>
  <c r="M470" i="5"/>
  <c r="M441" i="5"/>
  <c r="M439" i="5"/>
  <c r="M433" i="5"/>
  <c r="M426" i="5"/>
  <c r="M421" i="5"/>
  <c r="M412" i="5"/>
  <c r="M410" i="5"/>
  <c r="M409" i="5"/>
  <c r="M406" i="5"/>
  <c r="M404" i="5"/>
  <c r="M401" i="5"/>
  <c r="M388" i="5"/>
  <c r="M387" i="5"/>
  <c r="M382" i="5"/>
  <c r="M384" i="5"/>
  <c r="M378" i="5"/>
  <c r="M377" i="5"/>
  <c r="M372" i="5"/>
  <c r="M367" i="5"/>
  <c r="M363" i="5"/>
  <c r="M362" i="5"/>
  <c r="M360" i="5"/>
  <c r="M342" i="5"/>
  <c r="M340" i="5"/>
  <c r="M335" i="5"/>
  <c r="M326" i="5"/>
  <c r="M324" i="5"/>
  <c r="M320" i="5"/>
  <c r="M316" i="5"/>
  <c r="M310" i="5"/>
  <c r="M303" i="5"/>
  <c r="M302" i="5"/>
  <c r="M300" i="5"/>
  <c r="M298" i="5"/>
  <c r="M289" i="5"/>
  <c r="M285" i="5"/>
  <c r="M272" i="5"/>
  <c r="M270" i="5"/>
  <c r="M264" i="5"/>
  <c r="M260" i="5"/>
  <c r="M254" i="5"/>
  <c r="M251" i="5"/>
  <c r="M249" i="5"/>
  <c r="M248" i="5"/>
  <c r="M243" i="5"/>
  <c r="M238" i="5"/>
  <c r="M232" i="5"/>
  <c r="M231" i="5"/>
  <c r="M227" i="5"/>
  <c r="M220" i="5"/>
  <c r="M216" i="5"/>
  <c r="M208" i="5"/>
  <c r="M206" i="5"/>
  <c r="M203" i="5"/>
  <c r="M202" i="5"/>
  <c r="M195" i="5"/>
  <c r="M193" i="5"/>
  <c r="M185" i="5"/>
  <c r="M181" i="5"/>
  <c r="M180" i="5"/>
  <c r="M177" i="5"/>
  <c r="M174" i="5"/>
  <c r="M173" i="5"/>
  <c r="M170" i="5"/>
  <c r="M163" i="5"/>
  <c r="M162" i="5"/>
  <c r="M159" i="5"/>
  <c r="M155" i="5"/>
  <c r="M153" i="5"/>
  <c r="M147" i="5"/>
  <c r="M144" i="5"/>
  <c r="M145" i="5"/>
  <c r="M142" i="5"/>
  <c r="M137" i="5"/>
  <c r="M134" i="5"/>
  <c r="M132" i="5"/>
  <c r="M128" i="5"/>
  <c r="M123" i="5"/>
  <c r="M122" i="5"/>
  <c r="M121" i="5"/>
  <c r="M114" i="5"/>
  <c r="M110" i="5"/>
  <c r="M109" i="5"/>
  <c r="M95" i="5"/>
  <c r="M91" i="5"/>
  <c r="M89" i="5"/>
  <c r="M83" i="5"/>
  <c r="M80" i="5"/>
  <c r="M862" i="5"/>
  <c r="M824" i="5"/>
  <c r="M807" i="5"/>
  <c r="M791" i="5"/>
  <c r="M790" i="5"/>
  <c r="M773" i="5"/>
  <c r="M756" i="5"/>
  <c r="M731" i="5"/>
  <c r="M721" i="5"/>
  <c r="M717" i="5"/>
  <c r="M708" i="5"/>
  <c r="M696" i="5"/>
  <c r="M683" i="5"/>
  <c r="M674" i="5"/>
  <c r="M668" i="5"/>
  <c r="M661" i="5"/>
  <c r="M652" i="5"/>
  <c r="M628" i="5"/>
  <c r="M629" i="5"/>
  <c r="M627" i="5"/>
  <c r="M607" i="5"/>
  <c r="M583" i="5"/>
  <c r="M552" i="5"/>
  <c r="M549" i="5"/>
  <c r="M544" i="5"/>
  <c r="M539" i="5"/>
  <c r="M531" i="5"/>
  <c r="M528" i="5"/>
  <c r="M515" i="5"/>
  <c r="M513" i="5"/>
  <c r="M510" i="5"/>
  <c r="M504" i="5"/>
  <c r="M497" i="5"/>
  <c r="M492" i="5"/>
  <c r="M490" i="5"/>
  <c r="M487" i="5"/>
  <c r="M488" i="5"/>
  <c r="M482" i="5"/>
  <c r="M481" i="5"/>
  <c r="M479" i="5"/>
  <c r="M468" i="5"/>
  <c r="M466" i="5"/>
  <c r="M462" i="5"/>
  <c r="M460" i="5"/>
  <c r="M458" i="5"/>
  <c r="M453" i="5"/>
  <c r="M447" i="5"/>
  <c r="M436" i="5"/>
  <c r="M432" i="5"/>
  <c r="M428" i="5"/>
  <c r="M424" i="5"/>
  <c r="M425" i="5"/>
  <c r="M419" i="5"/>
  <c r="M417" i="5"/>
  <c r="M415" i="5"/>
  <c r="M407" i="5"/>
  <c r="M400" i="5"/>
  <c r="M397" i="5"/>
  <c r="M395" i="5"/>
  <c r="M393" i="5"/>
  <c r="M392" i="5"/>
  <c r="M390" i="5"/>
  <c r="M381" i="5"/>
  <c r="M376" i="5"/>
  <c r="M375" i="5"/>
  <c r="M371" i="5"/>
  <c r="M370" i="5"/>
  <c r="M361" i="5"/>
  <c r="M355" i="5"/>
  <c r="M354" i="5"/>
  <c r="M336" i="5"/>
  <c r="M332" i="5"/>
  <c r="M330" i="5"/>
  <c r="M327" i="5"/>
  <c r="M322" i="5"/>
  <c r="M318" i="5"/>
  <c r="M315" i="5"/>
  <c r="M314" i="5"/>
  <c r="M312" i="5"/>
  <c r="M308" i="5"/>
  <c r="M306" i="5"/>
  <c r="M296" i="5"/>
  <c r="M295" i="5"/>
  <c r="M293" i="5"/>
  <c r="M283" i="5"/>
  <c r="M281" i="5"/>
  <c r="M279" i="5"/>
  <c r="M269" i="5"/>
  <c r="M266" i="5"/>
  <c r="M263" i="5"/>
  <c r="M255" i="5"/>
  <c r="M247" i="5"/>
  <c r="M239" i="5"/>
  <c r="M235" i="5"/>
  <c r="M221" i="5"/>
  <c r="M211" i="5"/>
  <c r="M204" i="5"/>
  <c r="M198" i="5"/>
  <c r="M191" i="5"/>
  <c r="M189" i="5"/>
  <c r="M186" i="5"/>
  <c r="M184" i="5"/>
  <c r="M183" i="5"/>
  <c r="M179" i="5"/>
  <c r="M169" i="5"/>
  <c r="M164" i="5"/>
  <c r="M160" i="5"/>
  <c r="M158" i="5"/>
  <c r="M151" i="5"/>
  <c r="M148" i="5"/>
  <c r="M149" i="5"/>
  <c r="M146" i="5"/>
  <c r="M140" i="5"/>
  <c r="M135" i="5"/>
  <c r="M131" i="5"/>
  <c r="M130" i="5"/>
  <c r="M112" i="5"/>
  <c r="M101" i="5"/>
  <c r="M92" i="5"/>
  <c r="M87" i="5"/>
  <c r="M90" i="5"/>
  <c r="M86" i="5"/>
  <c r="M84" i="5"/>
  <c r="M81" i="5"/>
  <c r="M78" i="5"/>
  <c r="M77" i="5"/>
  <c r="M76" i="5"/>
  <c r="M74" i="5"/>
  <c r="M73" i="5"/>
  <c r="M69" i="5"/>
  <c r="M67" i="5"/>
  <c r="M66" i="5"/>
  <c r="M926" i="5"/>
  <c r="M893" i="5"/>
  <c r="M748" i="5"/>
  <c r="M714" i="5"/>
  <c r="M662" i="5"/>
  <c r="M650" i="5"/>
  <c r="M603" i="5"/>
  <c r="M599" i="5"/>
  <c r="M582" i="5"/>
  <c r="M564" i="5"/>
  <c r="M519" i="5"/>
  <c r="M500" i="5"/>
  <c r="M478" i="5"/>
  <c r="M467" i="5"/>
  <c r="M465" i="5"/>
  <c r="M461" i="5"/>
  <c r="M457" i="5"/>
  <c r="M454" i="5"/>
  <c r="M452" i="5"/>
  <c r="M448" i="5"/>
  <c r="M434" i="5"/>
  <c r="M430" i="5"/>
  <c r="M422" i="5"/>
  <c r="M414" i="5"/>
  <c r="M403" i="5"/>
  <c r="M386" i="5"/>
  <c r="M379" i="5"/>
  <c r="M366" i="5"/>
  <c r="M365" i="5"/>
  <c r="M358" i="5"/>
  <c r="M357" i="5"/>
  <c r="M351" i="5"/>
  <c r="M352" i="5"/>
  <c r="M350" i="5"/>
  <c r="M345" i="5"/>
  <c r="M344" i="5"/>
  <c r="M338" i="5"/>
  <c r="M334" i="5"/>
  <c r="M325" i="5"/>
  <c r="M311" i="5"/>
  <c r="M305" i="5"/>
  <c r="M299" i="5"/>
  <c r="M286" i="5"/>
  <c r="M277" i="5"/>
  <c r="M278" i="5"/>
  <c r="M273" i="5"/>
  <c r="M262" i="5"/>
  <c r="M259" i="5"/>
  <c r="M252" i="5"/>
  <c r="M250" i="5"/>
  <c r="M246" i="5"/>
  <c r="M237" i="5"/>
  <c r="M233" i="5"/>
  <c r="M225" i="5"/>
  <c r="M217" i="5"/>
  <c r="M205" i="5"/>
  <c r="M200" i="5"/>
  <c r="M192" i="5"/>
  <c r="M187" i="5"/>
  <c r="M175" i="5"/>
  <c r="M168" i="5"/>
  <c r="M165" i="5"/>
  <c r="M161" i="5"/>
  <c r="M141" i="5"/>
  <c r="M139" i="5"/>
  <c r="M136" i="5"/>
  <c r="M133" i="5"/>
  <c r="M126" i="5"/>
  <c r="M115" i="5"/>
  <c r="M107" i="5"/>
  <c r="M93" i="5"/>
  <c r="M85" i="5"/>
  <c r="M75" i="5"/>
  <c r="M72" i="5"/>
  <c r="M61" i="5"/>
  <c r="M62" i="5"/>
  <c r="M59" i="5"/>
  <c r="M55" i="5"/>
  <c r="M41" i="5"/>
  <c r="M37" i="5"/>
  <c r="M34" i="5"/>
  <c r="M594" i="5"/>
  <c r="M536" i="5"/>
  <c r="M518" i="5"/>
  <c r="M464" i="5"/>
  <c r="M438" i="5"/>
  <c r="M418" i="5"/>
  <c r="M408" i="5"/>
  <c r="M402" i="5"/>
  <c r="M385" i="5"/>
  <c r="M383" i="5"/>
  <c r="M368" i="5"/>
  <c r="M356" i="5"/>
  <c r="M348" i="5"/>
  <c r="M341" i="5"/>
  <c r="M331" i="5"/>
  <c r="M301" i="5"/>
  <c r="M244" i="5"/>
  <c r="M234" i="5"/>
  <c r="M214" i="5"/>
  <c r="M212" i="5"/>
  <c r="M207" i="5"/>
  <c r="M199" i="5"/>
  <c r="M188" i="5"/>
  <c r="M125" i="5"/>
  <c r="M120" i="5"/>
  <c r="M117" i="5"/>
  <c r="M113" i="5"/>
  <c r="M108" i="5"/>
  <c r="M98" i="5"/>
  <c r="M82" i="5"/>
  <c r="M71" i="5"/>
  <c r="M68" i="5"/>
  <c r="M57" i="5"/>
  <c r="M49" i="5"/>
  <c r="M44" i="5"/>
  <c r="M851" i="5"/>
  <c r="M818" i="5"/>
  <c r="M794" i="5"/>
  <c r="M783" i="5"/>
  <c r="M733" i="5"/>
  <c r="M716" i="5"/>
  <c r="M648" i="5"/>
  <c r="M614" i="5"/>
  <c r="M605" i="5"/>
  <c r="M588" i="5"/>
  <c r="M570" i="5"/>
  <c r="M542" i="5"/>
  <c r="M498" i="5"/>
  <c r="M423" i="5"/>
  <c r="M399" i="5"/>
  <c r="M391" i="5"/>
  <c r="M364" i="5"/>
  <c r="M359" i="5"/>
  <c r="M353" i="5"/>
  <c r="M347" i="5"/>
  <c r="M343" i="5"/>
  <c r="M333" i="5"/>
  <c r="M328" i="5"/>
  <c r="M307" i="5"/>
  <c r="M297" i="5"/>
  <c r="M282" i="5"/>
  <c r="M229" i="5"/>
  <c r="M223" i="5"/>
  <c r="M194" i="5"/>
  <c r="M922" i="5"/>
  <c r="M867" i="5"/>
  <c r="M821" i="5"/>
  <c r="M762" i="5"/>
  <c r="M710" i="5"/>
  <c r="M693" i="5"/>
  <c r="M692" i="5"/>
  <c r="M688" i="5"/>
  <c r="M680" i="5"/>
  <c r="M658" i="5"/>
  <c r="M632" i="5"/>
  <c r="M557" i="5"/>
  <c r="M535" i="5"/>
  <c r="M525" i="5"/>
  <c r="M521" i="5"/>
  <c r="M509" i="5"/>
  <c r="M463" i="5"/>
  <c r="M440" i="5"/>
  <c r="M437" i="5"/>
  <c r="M435" i="5"/>
  <c r="M431" i="5"/>
  <c r="M416" i="5"/>
  <c r="M405" i="5"/>
  <c r="M398" i="5"/>
  <c r="M396" i="5"/>
  <c r="M389" i="5"/>
  <c r="M380" i="5"/>
  <c r="M374" i="5"/>
  <c r="M369" i="5"/>
  <c r="M337" i="5"/>
  <c r="M329" i="5"/>
  <c r="M323" i="5"/>
  <c r="M321" i="5"/>
  <c r="M317" i="5"/>
  <c r="M313" i="5"/>
  <c r="M304" i="5"/>
  <c r="M294" i="5"/>
  <c r="M292" i="5"/>
  <c r="M291" i="5"/>
  <c r="M288" i="5"/>
  <c r="M280" i="5"/>
  <c r="M276" i="5"/>
  <c r="M275" i="5"/>
  <c r="M267" i="5"/>
  <c r="M265" i="5"/>
  <c r="M256" i="5"/>
  <c r="M253" i="5"/>
  <c r="M242" i="5"/>
  <c r="M241" i="5"/>
  <c r="M240" i="5"/>
  <c r="M230" i="5"/>
  <c r="M228" i="5"/>
  <c r="M224" i="5"/>
  <c r="M222" i="5"/>
  <c r="M215" i="5"/>
  <c r="M209" i="5"/>
  <c r="M201" i="5"/>
  <c r="M190" i="5"/>
  <c r="M182" i="5"/>
  <c r="M178" i="5"/>
  <c r="M176" i="5"/>
  <c r="M171" i="5"/>
  <c r="M129" i="5"/>
  <c r="M118" i="5"/>
  <c r="M105" i="5"/>
  <c r="M103" i="5"/>
  <c r="M102" i="5"/>
  <c r="M99" i="5"/>
  <c r="M97" i="5"/>
  <c r="M64" i="5"/>
  <c r="M60" i="5"/>
  <c r="M56" i="5"/>
  <c r="M53" i="5"/>
  <c r="M48" i="5"/>
  <c r="M42" i="5"/>
  <c r="M36" i="5"/>
  <c r="M787" i="5"/>
  <c r="M777" i="5"/>
  <c r="M669" i="5"/>
  <c r="M639" i="5"/>
  <c r="M631" i="5"/>
  <c r="M623" i="5"/>
  <c r="M529" i="5"/>
  <c r="M489" i="5"/>
  <c r="M429" i="5"/>
  <c r="M420" i="5"/>
  <c r="M413" i="5"/>
  <c r="M339" i="5"/>
  <c r="M319" i="5"/>
  <c r="M287" i="5"/>
  <c r="M274" i="5"/>
  <c r="M271" i="5"/>
  <c r="M258" i="5"/>
  <c r="M236" i="5"/>
  <c r="M226" i="5"/>
  <c r="M218" i="5"/>
  <c r="M210" i="5"/>
  <c r="M197" i="5"/>
  <c r="M172" i="5"/>
  <c r="M156" i="5"/>
  <c r="M150" i="5"/>
  <c r="M143" i="5"/>
  <c r="M138" i="5"/>
  <c r="M124" i="5"/>
  <c r="M116" i="5"/>
  <c r="M106" i="5"/>
  <c r="M94" i="5"/>
  <c r="M70" i="5"/>
  <c r="M51" i="5"/>
  <c r="M47" i="5"/>
  <c r="M40" i="5"/>
  <c r="M39" i="5"/>
  <c r="M35" i="5"/>
  <c r="M753" i="5"/>
  <c r="M660" i="5"/>
  <c r="M617" i="5"/>
  <c r="M601" i="5"/>
  <c r="M592" i="5"/>
  <c r="M575" i="5"/>
  <c r="M567" i="5"/>
  <c r="M546" i="5"/>
  <c r="M540" i="5"/>
  <c r="M533" i="5"/>
  <c r="M520" i="5"/>
  <c r="M514" i="5"/>
  <c r="M501" i="5"/>
  <c r="M495" i="5"/>
  <c r="M474" i="5"/>
  <c r="M455" i="5"/>
  <c r="M451" i="5"/>
  <c r="M427" i="5"/>
  <c r="M411" i="5"/>
  <c r="M394" i="5"/>
  <c r="M373" i="5"/>
  <c r="M349" i="5"/>
  <c r="M346" i="5"/>
  <c r="M309" i="5"/>
  <c r="M290" i="5"/>
  <c r="M284" i="5"/>
  <c r="M268" i="5"/>
  <c r="M261" i="5"/>
  <c r="M257" i="5"/>
  <c r="M245" i="5"/>
  <c r="M219" i="5"/>
  <c r="M213" i="5"/>
  <c r="M196" i="5"/>
  <c r="M166" i="5"/>
  <c r="M96" i="5"/>
  <c r="M152" i="5"/>
  <c r="M100" i="5"/>
  <c r="M88" i="5"/>
  <c r="M65" i="5"/>
  <c r="M58" i="5"/>
  <c r="M46" i="5"/>
  <c r="M33" i="5"/>
  <c r="M167" i="5"/>
  <c r="M127" i="5"/>
  <c r="M111" i="5"/>
  <c r="M104" i="5"/>
  <c r="M52" i="5"/>
  <c r="M154" i="5"/>
  <c r="M54" i="5"/>
  <c r="M45" i="5"/>
  <c r="M119" i="5"/>
  <c r="M63" i="5"/>
  <c r="M38" i="5"/>
  <c r="M157" i="5"/>
  <c r="M79" i="5"/>
  <c r="M43" i="5"/>
  <c r="L18" i="5"/>
  <c r="L91" i="7"/>
  <c r="J83" i="7"/>
  <c r="I83" i="7"/>
  <c r="I81" i="7"/>
  <c r="L14" i="5"/>
  <c r="M14" i="5"/>
  <c r="K13" i="7"/>
  <c r="J81" i="7"/>
  <c r="L13" i="7"/>
  <c r="L1031" i="5" l="1"/>
  <c r="N1031" i="5" s="1"/>
  <c r="L1023" i="5"/>
  <c r="N1023" i="5" s="1"/>
  <c r="L1022" i="5"/>
  <c r="N1022" i="5" s="1"/>
  <c r="L1019" i="5"/>
  <c r="N1019" i="5" s="1"/>
  <c r="L1014" i="5"/>
  <c r="N1014" i="5" s="1"/>
  <c r="L1010" i="5"/>
  <c r="N1010" i="5" s="1"/>
  <c r="L998" i="5"/>
  <c r="N998" i="5" s="1"/>
  <c r="L995" i="5"/>
  <c r="N995" i="5" s="1"/>
  <c r="L994" i="5"/>
  <c r="N994" i="5" s="1"/>
  <c r="L992" i="5"/>
  <c r="N992" i="5" s="1"/>
  <c r="L988" i="5"/>
  <c r="N988" i="5" s="1"/>
  <c r="L986" i="5"/>
  <c r="N986" i="5" s="1"/>
  <c r="L984" i="5"/>
  <c r="N984" i="5" s="1"/>
  <c r="L978" i="5"/>
  <c r="N978" i="5" s="1"/>
  <c r="L970" i="5"/>
  <c r="N970" i="5" s="1"/>
  <c r="L1030" i="5"/>
  <c r="N1030" i="5" s="1"/>
  <c r="L1021" i="5"/>
  <c r="N1021" i="5" s="1"/>
  <c r="L1020" i="5"/>
  <c r="N1020" i="5" s="1"/>
  <c r="L1013" i="5"/>
  <c r="N1013" i="5" s="1"/>
  <c r="L1012" i="5"/>
  <c r="N1012" i="5" s="1"/>
  <c r="L1007" i="5"/>
  <c r="N1007" i="5" s="1"/>
  <c r="L1005" i="5"/>
  <c r="N1005" i="5" s="1"/>
  <c r="L1003" i="5"/>
  <c r="N1003" i="5" s="1"/>
  <c r="L999" i="5"/>
  <c r="N999" i="5" s="1"/>
  <c r="L987" i="5"/>
  <c r="N987" i="5" s="1"/>
  <c r="L977" i="5"/>
  <c r="N977" i="5" s="1"/>
  <c r="L973" i="5"/>
  <c r="N973" i="5" s="1"/>
  <c r="L972" i="5"/>
  <c r="N972" i="5" s="1"/>
  <c r="L968" i="5"/>
  <c r="N968" i="5" s="1"/>
  <c r="L32" i="5"/>
  <c r="N32" i="5" s="1"/>
  <c r="L1026" i="5"/>
  <c r="N1026" i="5" s="1"/>
  <c r="L1008" i="5"/>
  <c r="N1008" i="5" s="1"/>
  <c r="L1004" i="5"/>
  <c r="N1004" i="5" s="1"/>
  <c r="L990" i="5"/>
  <c r="N990" i="5" s="1"/>
  <c r="L991" i="5"/>
  <c r="N991" i="5" s="1"/>
  <c r="L982" i="5"/>
  <c r="N982" i="5" s="1"/>
  <c r="L981" i="5"/>
  <c r="N981" i="5" s="1"/>
  <c r="L974" i="5"/>
  <c r="N974" i="5" s="1"/>
  <c r="L975" i="5"/>
  <c r="N975" i="5" s="1"/>
  <c r="L969" i="5"/>
  <c r="N969" i="5" s="1"/>
  <c r="L966" i="5"/>
  <c r="N966" i="5" s="1"/>
  <c r="L957" i="5"/>
  <c r="N957" i="5" s="1"/>
  <c r="L952" i="5"/>
  <c r="N952" i="5" s="1"/>
  <c r="L951" i="5"/>
  <c r="N951" i="5" s="1"/>
  <c r="L938" i="5"/>
  <c r="N938" i="5" s="1"/>
  <c r="L939" i="5"/>
  <c r="N939" i="5" s="1"/>
  <c r="L1029" i="5"/>
  <c r="N1029" i="5" s="1"/>
  <c r="L1027" i="5"/>
  <c r="N1027" i="5" s="1"/>
  <c r="L1024" i="5"/>
  <c r="N1024" i="5" s="1"/>
  <c r="L1018" i="5"/>
  <c r="N1018" i="5" s="1"/>
  <c r="L1016" i="5"/>
  <c r="N1016" i="5" s="1"/>
  <c r="L1011" i="5"/>
  <c r="N1011" i="5" s="1"/>
  <c r="L1002" i="5"/>
  <c r="N1002" i="5" s="1"/>
  <c r="L989" i="5"/>
  <c r="N989" i="5" s="1"/>
  <c r="L983" i="5"/>
  <c r="N983" i="5" s="1"/>
  <c r="L980" i="5"/>
  <c r="N980" i="5" s="1"/>
  <c r="L976" i="5"/>
  <c r="N976" i="5" s="1"/>
  <c r="L967" i="5"/>
  <c r="N967" i="5" s="1"/>
  <c r="L964" i="5"/>
  <c r="N964" i="5" s="1"/>
  <c r="L958" i="5"/>
  <c r="N958" i="5" s="1"/>
  <c r="L955" i="5"/>
  <c r="N955" i="5" s="1"/>
  <c r="L954" i="5"/>
  <c r="N954" i="5" s="1"/>
  <c r="L950" i="5"/>
  <c r="N950" i="5" s="1"/>
  <c r="L947" i="5"/>
  <c r="N947" i="5" s="1"/>
  <c r="L946" i="5"/>
  <c r="N946" i="5" s="1"/>
  <c r="L942" i="5"/>
  <c r="N942" i="5" s="1"/>
  <c r="L936" i="5"/>
  <c r="N936" i="5" s="1"/>
  <c r="L930" i="5"/>
  <c r="N930" i="5" s="1"/>
  <c r="L927" i="5"/>
  <c r="N927" i="5" s="1"/>
  <c r="L926" i="5"/>
  <c r="N926" i="5" s="1"/>
  <c r="L918" i="5"/>
  <c r="N918" i="5" s="1"/>
  <c r="L913" i="5"/>
  <c r="N913" i="5" s="1"/>
  <c r="L906" i="5"/>
  <c r="N906" i="5" s="1"/>
  <c r="L905" i="5"/>
  <c r="N905" i="5" s="1"/>
  <c r="L1025" i="5"/>
  <c r="N1025" i="5" s="1"/>
  <c r="L1009" i="5"/>
  <c r="N1009" i="5" s="1"/>
  <c r="L1006" i="5"/>
  <c r="N1006" i="5" s="1"/>
  <c r="L1000" i="5"/>
  <c r="N1000" i="5" s="1"/>
  <c r="L962" i="5"/>
  <c r="N962" i="5" s="1"/>
  <c r="L949" i="5"/>
  <c r="N949" i="5" s="1"/>
  <c r="L940" i="5"/>
  <c r="N940" i="5" s="1"/>
  <c r="L935" i="5"/>
  <c r="N935" i="5" s="1"/>
  <c r="L924" i="5"/>
  <c r="N924" i="5" s="1"/>
  <c r="L923" i="5"/>
  <c r="N923" i="5" s="1"/>
  <c r="L921" i="5"/>
  <c r="N921" i="5" s="1"/>
  <c r="L920" i="5"/>
  <c r="N920" i="5" s="1"/>
  <c r="L912" i="5"/>
  <c r="N912" i="5" s="1"/>
  <c r="L902" i="5"/>
  <c r="N902" i="5" s="1"/>
  <c r="L892" i="5"/>
  <c r="N892" i="5" s="1"/>
  <c r="L891" i="5"/>
  <c r="N891" i="5" s="1"/>
  <c r="L889" i="5"/>
  <c r="N889" i="5" s="1"/>
  <c r="L887" i="5"/>
  <c r="N887" i="5" s="1"/>
  <c r="L882" i="5"/>
  <c r="N882" i="5" s="1"/>
  <c r="L879" i="5"/>
  <c r="N879" i="5" s="1"/>
  <c r="L873" i="5"/>
  <c r="N873" i="5" s="1"/>
  <c r="L867" i="5"/>
  <c r="N867" i="5" s="1"/>
  <c r="L862" i="5"/>
  <c r="N862" i="5" s="1"/>
  <c r="L853" i="5"/>
  <c r="N853" i="5" s="1"/>
  <c r="L843" i="5"/>
  <c r="N843" i="5" s="1"/>
  <c r="L839" i="5"/>
  <c r="N839" i="5" s="1"/>
  <c r="L837" i="5"/>
  <c r="N837" i="5" s="1"/>
  <c r="L828" i="5"/>
  <c r="N828" i="5" s="1"/>
  <c r="L824" i="5"/>
  <c r="N824" i="5" s="1"/>
  <c r="L1028" i="5"/>
  <c r="N1028" i="5" s="1"/>
  <c r="L1015" i="5"/>
  <c r="N1015" i="5" s="1"/>
  <c r="L993" i="5"/>
  <c r="N993" i="5" s="1"/>
  <c r="L979" i="5"/>
  <c r="N979" i="5" s="1"/>
  <c r="L948" i="5"/>
  <c r="N948" i="5" s="1"/>
  <c r="L943" i="5"/>
  <c r="N943" i="5" s="1"/>
  <c r="L928" i="5"/>
  <c r="N928" i="5" s="1"/>
  <c r="L922" i="5"/>
  <c r="N922" i="5" s="1"/>
  <c r="L915" i="5"/>
  <c r="N915" i="5" s="1"/>
  <c r="L904" i="5"/>
  <c r="N904" i="5" s="1"/>
  <c r="L903" i="5"/>
  <c r="N903" i="5" s="1"/>
  <c r="L895" i="5"/>
  <c r="N895" i="5" s="1"/>
  <c r="L894" i="5"/>
  <c r="N894" i="5" s="1"/>
  <c r="L886" i="5"/>
  <c r="N886" i="5" s="1"/>
  <c r="L883" i="5"/>
  <c r="N883" i="5" s="1"/>
  <c r="L880" i="5"/>
  <c r="N880" i="5" s="1"/>
  <c r="L876" i="5"/>
  <c r="N876" i="5" s="1"/>
  <c r="L871" i="5"/>
  <c r="N871" i="5" s="1"/>
  <c r="L868" i="5"/>
  <c r="N868" i="5" s="1"/>
  <c r="L859" i="5"/>
  <c r="N859" i="5" s="1"/>
  <c r="L857" i="5"/>
  <c r="N857" i="5" s="1"/>
  <c r="L846" i="5"/>
  <c r="N846" i="5" s="1"/>
  <c r="L842" i="5"/>
  <c r="N842" i="5" s="1"/>
  <c r="L840" i="5"/>
  <c r="N840" i="5" s="1"/>
  <c r="L835" i="5"/>
  <c r="N835" i="5" s="1"/>
  <c r="L833" i="5"/>
  <c r="N833" i="5" s="1"/>
  <c r="L830" i="5"/>
  <c r="N830" i="5" s="1"/>
  <c r="L822" i="5"/>
  <c r="N822" i="5" s="1"/>
  <c r="L1017" i="5"/>
  <c r="N1017" i="5" s="1"/>
  <c r="L996" i="5"/>
  <c r="N996" i="5" s="1"/>
  <c r="L985" i="5"/>
  <c r="N985" i="5" s="1"/>
  <c r="L963" i="5"/>
  <c r="N963" i="5" s="1"/>
  <c r="L959" i="5"/>
  <c r="N959" i="5" s="1"/>
  <c r="L953" i="5"/>
  <c r="N953" i="5" s="1"/>
  <c r="L933" i="5"/>
  <c r="N933" i="5" s="1"/>
  <c r="L925" i="5"/>
  <c r="N925" i="5" s="1"/>
  <c r="L914" i="5"/>
  <c r="N914" i="5" s="1"/>
  <c r="L910" i="5"/>
  <c r="N910" i="5" s="1"/>
  <c r="L908" i="5"/>
  <c r="N908" i="5" s="1"/>
  <c r="L898" i="5"/>
  <c r="N898" i="5" s="1"/>
  <c r="L897" i="5"/>
  <c r="N897" i="5" s="1"/>
  <c r="L890" i="5"/>
  <c r="N890" i="5" s="1"/>
  <c r="L884" i="5"/>
  <c r="N884" i="5" s="1"/>
  <c r="L877" i="5"/>
  <c r="N877" i="5" s="1"/>
  <c r="L875" i="5"/>
  <c r="N875" i="5" s="1"/>
  <c r="L869" i="5"/>
  <c r="N869" i="5" s="1"/>
  <c r="L865" i="5"/>
  <c r="N865" i="5" s="1"/>
  <c r="L863" i="5"/>
  <c r="N863" i="5" s="1"/>
  <c r="L855" i="5"/>
  <c r="N855" i="5" s="1"/>
  <c r="L850" i="5"/>
  <c r="N850" i="5" s="1"/>
  <c r="L847" i="5"/>
  <c r="N847" i="5" s="1"/>
  <c r="L836" i="5"/>
  <c r="N836" i="5" s="1"/>
  <c r="L820" i="5"/>
  <c r="N820" i="5" s="1"/>
  <c r="L817" i="5"/>
  <c r="N817" i="5" s="1"/>
  <c r="L814" i="5"/>
  <c r="N814" i="5" s="1"/>
  <c r="L806" i="5"/>
  <c r="N806" i="5" s="1"/>
  <c r="L804" i="5"/>
  <c r="N804" i="5" s="1"/>
  <c r="L803" i="5"/>
  <c r="N803" i="5" s="1"/>
  <c r="L802" i="5"/>
  <c r="N802" i="5" s="1"/>
  <c r="L997" i="5"/>
  <c r="N997" i="5" s="1"/>
  <c r="L971" i="5"/>
  <c r="N971" i="5" s="1"/>
  <c r="L956" i="5"/>
  <c r="N956" i="5" s="1"/>
  <c r="L916" i="5"/>
  <c r="N916" i="5" s="1"/>
  <c r="L909" i="5"/>
  <c r="N909" i="5" s="1"/>
  <c r="L901" i="5"/>
  <c r="N901" i="5" s="1"/>
  <c r="L899" i="5"/>
  <c r="N899" i="5" s="1"/>
  <c r="L893" i="5"/>
  <c r="N893" i="5" s="1"/>
  <c r="L874" i="5"/>
  <c r="N874" i="5" s="1"/>
  <c r="L866" i="5"/>
  <c r="N866" i="5" s="1"/>
  <c r="L864" i="5"/>
  <c r="N864" i="5" s="1"/>
  <c r="L860" i="5"/>
  <c r="N860" i="5" s="1"/>
  <c r="L861" i="5"/>
  <c r="N861" i="5" s="1"/>
  <c r="L852" i="5"/>
  <c r="N852" i="5" s="1"/>
  <c r="L849" i="5"/>
  <c r="N849" i="5" s="1"/>
  <c r="L848" i="5"/>
  <c r="N848" i="5" s="1"/>
  <c r="L838" i="5"/>
  <c r="N838" i="5" s="1"/>
  <c r="L823" i="5"/>
  <c r="N823" i="5" s="1"/>
  <c r="L815" i="5"/>
  <c r="N815" i="5" s="1"/>
  <c r="L809" i="5"/>
  <c r="N809" i="5" s="1"/>
  <c r="L801" i="5"/>
  <c r="N801" i="5" s="1"/>
  <c r="L794" i="5"/>
  <c r="N794" i="5" s="1"/>
  <c r="L792" i="5"/>
  <c r="N792" i="5" s="1"/>
  <c r="L780" i="5"/>
  <c r="N780" i="5" s="1"/>
  <c r="L772" i="5"/>
  <c r="N772" i="5" s="1"/>
  <c r="L765" i="5"/>
  <c r="N765" i="5" s="1"/>
  <c r="L764" i="5"/>
  <c r="N764" i="5" s="1"/>
  <c r="L759" i="5"/>
  <c r="N759" i="5" s="1"/>
  <c r="L755" i="5"/>
  <c r="N755" i="5" s="1"/>
  <c r="L945" i="5"/>
  <c r="N945" i="5" s="1"/>
  <c r="L937" i="5"/>
  <c r="N937" i="5" s="1"/>
  <c r="L931" i="5"/>
  <c r="N931" i="5" s="1"/>
  <c r="L907" i="5"/>
  <c r="N907" i="5" s="1"/>
  <c r="L888" i="5"/>
  <c r="N888" i="5" s="1"/>
  <c r="L856" i="5"/>
  <c r="N856" i="5" s="1"/>
  <c r="L851" i="5"/>
  <c r="N851" i="5" s="1"/>
  <c r="L844" i="5"/>
  <c r="N844" i="5" s="1"/>
  <c r="L841" i="5"/>
  <c r="N841" i="5" s="1"/>
  <c r="L1001" i="5"/>
  <c r="N1001" i="5" s="1"/>
  <c r="L965" i="5"/>
  <c r="N965" i="5" s="1"/>
  <c r="L944" i="5"/>
  <c r="N944" i="5" s="1"/>
  <c r="L932" i="5"/>
  <c r="N932" i="5" s="1"/>
  <c r="L919" i="5"/>
  <c r="N919" i="5" s="1"/>
  <c r="L911" i="5"/>
  <c r="N911" i="5" s="1"/>
  <c r="L885" i="5"/>
  <c r="N885" i="5" s="1"/>
  <c r="L872" i="5"/>
  <c r="N872" i="5" s="1"/>
  <c r="L858" i="5"/>
  <c r="N858" i="5" s="1"/>
  <c r="L854" i="5"/>
  <c r="N854" i="5" s="1"/>
  <c r="L831" i="5"/>
  <c r="N831" i="5" s="1"/>
  <c r="L821" i="5"/>
  <c r="N821" i="5" s="1"/>
  <c r="L796" i="5"/>
  <c r="N796" i="5" s="1"/>
  <c r="L793" i="5"/>
  <c r="N793" i="5" s="1"/>
  <c r="L787" i="5"/>
  <c r="N787" i="5" s="1"/>
  <c r="L785" i="5"/>
  <c r="N785" i="5" s="1"/>
  <c r="L781" i="5"/>
  <c r="N781" i="5" s="1"/>
  <c r="L779" i="5"/>
  <c r="N779" i="5" s="1"/>
  <c r="L773" i="5"/>
  <c r="N773" i="5" s="1"/>
  <c r="L766" i="5"/>
  <c r="N766" i="5" s="1"/>
  <c r="L763" i="5"/>
  <c r="N763" i="5" s="1"/>
  <c r="L753" i="5"/>
  <c r="N753" i="5" s="1"/>
  <c r="L748" i="5"/>
  <c r="N748" i="5" s="1"/>
  <c r="L745" i="5"/>
  <c r="N745" i="5" s="1"/>
  <c r="L740" i="5"/>
  <c r="N740" i="5" s="1"/>
  <c r="L735" i="5"/>
  <c r="N735" i="5" s="1"/>
  <c r="L724" i="5"/>
  <c r="N724" i="5" s="1"/>
  <c r="L720" i="5"/>
  <c r="N720" i="5" s="1"/>
  <c r="L717" i="5"/>
  <c r="N717" i="5" s="1"/>
  <c r="L711" i="5"/>
  <c r="N711" i="5" s="1"/>
  <c r="L709" i="5"/>
  <c r="N709" i="5" s="1"/>
  <c r="L702" i="5"/>
  <c r="N702" i="5" s="1"/>
  <c r="L697" i="5"/>
  <c r="N697" i="5" s="1"/>
  <c r="L691" i="5"/>
  <c r="N691" i="5" s="1"/>
  <c r="L685" i="5"/>
  <c r="N685" i="5" s="1"/>
  <c r="L684" i="5"/>
  <c r="N684" i="5" s="1"/>
  <c r="L669" i="5"/>
  <c r="N669" i="5" s="1"/>
  <c r="L663" i="5"/>
  <c r="N663" i="5" s="1"/>
  <c r="L662" i="5"/>
  <c r="N662" i="5" s="1"/>
  <c r="L661" i="5"/>
  <c r="N661" i="5" s="1"/>
  <c r="L656" i="5"/>
  <c r="N656" i="5" s="1"/>
  <c r="L655" i="5"/>
  <c r="N655" i="5" s="1"/>
  <c r="L652" i="5"/>
  <c r="N652" i="5" s="1"/>
  <c r="L650" i="5"/>
  <c r="N650" i="5" s="1"/>
  <c r="L637" i="5"/>
  <c r="N637" i="5" s="1"/>
  <c r="L632" i="5"/>
  <c r="N632" i="5" s="1"/>
  <c r="L628" i="5"/>
  <c r="N628" i="5" s="1"/>
  <c r="L619" i="5"/>
  <c r="N619" i="5" s="1"/>
  <c r="L615" i="5"/>
  <c r="N615" i="5" s="1"/>
  <c r="L614" i="5"/>
  <c r="N614" i="5" s="1"/>
  <c r="L611" i="5"/>
  <c r="N611" i="5" s="1"/>
  <c r="L608" i="5"/>
  <c r="N608" i="5" s="1"/>
  <c r="L603" i="5"/>
  <c r="N603" i="5" s="1"/>
  <c r="L602" i="5"/>
  <c r="N602" i="5" s="1"/>
  <c r="L592" i="5"/>
  <c r="N592" i="5" s="1"/>
  <c r="L586" i="5"/>
  <c r="N586" i="5" s="1"/>
  <c r="L585" i="5"/>
  <c r="N585" i="5" s="1"/>
  <c r="L583" i="5"/>
  <c r="N583" i="5" s="1"/>
  <c r="L582" i="5"/>
  <c r="N582" i="5" s="1"/>
  <c r="L579" i="5"/>
  <c r="N579" i="5" s="1"/>
  <c r="L569" i="5"/>
  <c r="N569" i="5" s="1"/>
  <c r="L567" i="5"/>
  <c r="N567" i="5" s="1"/>
  <c r="L564" i="5"/>
  <c r="N564" i="5" s="1"/>
  <c r="L562" i="5"/>
  <c r="N562" i="5" s="1"/>
  <c r="L896" i="5"/>
  <c r="N896" i="5" s="1"/>
  <c r="L878" i="5"/>
  <c r="N878" i="5" s="1"/>
  <c r="L870" i="5"/>
  <c r="N870" i="5" s="1"/>
  <c r="L845" i="5"/>
  <c r="N845" i="5" s="1"/>
  <c r="L832" i="5"/>
  <c r="N832" i="5" s="1"/>
  <c r="L826" i="5"/>
  <c r="N826" i="5" s="1"/>
  <c r="L812" i="5"/>
  <c r="N812" i="5" s="1"/>
  <c r="L808" i="5"/>
  <c r="N808" i="5" s="1"/>
  <c r="L799" i="5"/>
  <c r="N799" i="5" s="1"/>
  <c r="L791" i="5"/>
  <c r="N791" i="5" s="1"/>
  <c r="L789" i="5"/>
  <c r="N789" i="5" s="1"/>
  <c r="L782" i="5"/>
  <c r="N782" i="5" s="1"/>
  <c r="L777" i="5"/>
  <c r="N777" i="5" s="1"/>
  <c r="L768" i="5"/>
  <c r="N768" i="5" s="1"/>
  <c r="L758" i="5"/>
  <c r="N758" i="5" s="1"/>
  <c r="L756" i="5"/>
  <c r="N756" i="5" s="1"/>
  <c r="L751" i="5"/>
  <c r="N751" i="5" s="1"/>
  <c r="L752" i="5"/>
  <c r="N752" i="5" s="1"/>
  <c r="L732" i="5"/>
  <c r="N732" i="5" s="1"/>
  <c r="L710" i="5"/>
  <c r="N710" i="5" s="1"/>
  <c r="L708" i="5"/>
  <c r="N708" i="5" s="1"/>
  <c r="L705" i="5"/>
  <c r="N705" i="5" s="1"/>
  <c r="L703" i="5"/>
  <c r="N703" i="5" s="1"/>
  <c r="L698" i="5"/>
  <c r="N698" i="5" s="1"/>
  <c r="L694" i="5"/>
  <c r="N694" i="5" s="1"/>
  <c r="L692" i="5"/>
  <c r="N692" i="5" s="1"/>
  <c r="L689" i="5"/>
  <c r="N689" i="5" s="1"/>
  <c r="L675" i="5"/>
  <c r="N675" i="5" s="1"/>
  <c r="L668" i="5"/>
  <c r="N668" i="5" s="1"/>
  <c r="L664" i="5"/>
  <c r="N664" i="5" s="1"/>
  <c r="L666" i="5"/>
  <c r="N666" i="5" s="1"/>
  <c r="L660" i="5"/>
  <c r="N660" i="5" s="1"/>
  <c r="L648" i="5"/>
  <c r="N648" i="5" s="1"/>
  <c r="L644" i="5"/>
  <c r="N644" i="5" s="1"/>
  <c r="L643" i="5"/>
  <c r="N643" i="5" s="1"/>
  <c r="L642" i="5"/>
  <c r="N642" i="5" s="1"/>
  <c r="L639" i="5"/>
  <c r="N639" i="5" s="1"/>
  <c r="L636" i="5"/>
  <c r="N636" i="5" s="1"/>
  <c r="L620" i="5"/>
  <c r="N620" i="5" s="1"/>
  <c r="L613" i="5"/>
  <c r="N613" i="5" s="1"/>
  <c r="L612" i="5"/>
  <c r="N612" i="5" s="1"/>
  <c r="L609" i="5"/>
  <c r="N609" i="5" s="1"/>
  <c r="L605" i="5"/>
  <c r="N605" i="5" s="1"/>
  <c r="L600" i="5"/>
  <c r="N600" i="5" s="1"/>
  <c r="L597" i="5"/>
  <c r="N597" i="5" s="1"/>
  <c r="L596" i="5"/>
  <c r="N596" i="5" s="1"/>
  <c r="L588" i="5"/>
  <c r="N588" i="5" s="1"/>
  <c r="L584" i="5"/>
  <c r="N584" i="5" s="1"/>
  <c r="L581" i="5"/>
  <c r="N581" i="5" s="1"/>
  <c r="L580" i="5"/>
  <c r="N580" i="5" s="1"/>
  <c r="L578" i="5"/>
  <c r="N578" i="5" s="1"/>
  <c r="L577" i="5"/>
  <c r="N577" i="5" s="1"/>
  <c r="L575" i="5"/>
  <c r="N575" i="5" s="1"/>
  <c r="L571" i="5"/>
  <c r="N571" i="5" s="1"/>
  <c r="L565" i="5"/>
  <c r="N565" i="5" s="1"/>
  <c r="L561" i="5"/>
  <c r="N561" i="5" s="1"/>
  <c r="L559" i="5"/>
  <c r="N559" i="5" s="1"/>
  <c r="L556" i="5"/>
  <c r="N556" i="5" s="1"/>
  <c r="L550" i="5"/>
  <c r="N550" i="5" s="1"/>
  <c r="L545" i="5"/>
  <c r="N545" i="5" s="1"/>
  <c r="L543" i="5"/>
  <c r="N543" i="5" s="1"/>
  <c r="L542" i="5"/>
  <c r="N542" i="5" s="1"/>
  <c r="L538" i="5"/>
  <c r="N538" i="5" s="1"/>
  <c r="L537" i="5"/>
  <c r="N537" i="5" s="1"/>
  <c r="L535" i="5"/>
  <c r="N535" i="5" s="1"/>
  <c r="L533" i="5"/>
  <c r="N533" i="5" s="1"/>
  <c r="L519" i="5"/>
  <c r="N519" i="5" s="1"/>
  <c r="L514" i="5"/>
  <c r="N514" i="5" s="1"/>
  <c r="L506" i="5"/>
  <c r="N506" i="5" s="1"/>
  <c r="L501" i="5"/>
  <c r="N501" i="5" s="1"/>
  <c r="L499" i="5"/>
  <c r="N499" i="5" s="1"/>
  <c r="L496" i="5"/>
  <c r="N496" i="5" s="1"/>
  <c r="L495" i="5"/>
  <c r="N495" i="5" s="1"/>
  <c r="L489" i="5"/>
  <c r="N489" i="5" s="1"/>
  <c r="L486" i="5"/>
  <c r="N486" i="5" s="1"/>
  <c r="L941" i="5"/>
  <c r="N941" i="5" s="1"/>
  <c r="L929" i="5"/>
  <c r="N929" i="5" s="1"/>
  <c r="L827" i="5"/>
  <c r="N827" i="5" s="1"/>
  <c r="L818" i="5"/>
  <c r="N818" i="5" s="1"/>
  <c r="L819" i="5"/>
  <c r="N819" i="5" s="1"/>
  <c r="L816" i="5"/>
  <c r="N816" i="5" s="1"/>
  <c r="L811" i="5"/>
  <c r="N811" i="5" s="1"/>
  <c r="L810" i="5"/>
  <c r="N810" i="5" s="1"/>
  <c r="L805" i="5"/>
  <c r="N805" i="5" s="1"/>
  <c r="L797" i="5"/>
  <c r="N797" i="5" s="1"/>
  <c r="L790" i="5"/>
  <c r="N790" i="5" s="1"/>
  <c r="L788" i="5"/>
  <c r="N788" i="5" s="1"/>
  <c r="L778" i="5"/>
  <c r="N778" i="5" s="1"/>
  <c r="L761" i="5"/>
  <c r="N761" i="5" s="1"/>
  <c r="L760" i="5"/>
  <c r="N760" i="5" s="1"/>
  <c r="L749" i="5"/>
  <c r="N749" i="5" s="1"/>
  <c r="L744" i="5"/>
  <c r="N744" i="5" s="1"/>
  <c r="L742" i="5"/>
  <c r="N742" i="5" s="1"/>
  <c r="L737" i="5"/>
  <c r="N737" i="5" s="1"/>
  <c r="L734" i="5"/>
  <c r="N734" i="5" s="1"/>
  <c r="L733" i="5"/>
  <c r="N733" i="5" s="1"/>
  <c r="L731" i="5"/>
  <c r="N731" i="5" s="1"/>
  <c r="L729" i="5"/>
  <c r="N729" i="5" s="1"/>
  <c r="L727" i="5"/>
  <c r="N727" i="5" s="1"/>
  <c r="L726" i="5"/>
  <c r="N726" i="5" s="1"/>
  <c r="L722" i="5"/>
  <c r="N722" i="5" s="1"/>
  <c r="L718" i="5"/>
  <c r="N718" i="5" s="1"/>
  <c r="L707" i="5"/>
  <c r="N707" i="5" s="1"/>
  <c r="L704" i="5"/>
  <c r="N704" i="5" s="1"/>
  <c r="L686" i="5"/>
  <c r="N686" i="5" s="1"/>
  <c r="L682" i="5"/>
  <c r="N682" i="5" s="1"/>
  <c r="L679" i="5"/>
  <c r="N679" i="5" s="1"/>
  <c r="L673" i="5"/>
  <c r="N673" i="5" s="1"/>
  <c r="L672" i="5"/>
  <c r="N672" i="5" s="1"/>
  <c r="L654" i="5"/>
  <c r="N654" i="5" s="1"/>
  <c r="L651" i="5"/>
  <c r="N651" i="5" s="1"/>
  <c r="L646" i="5"/>
  <c r="N646" i="5" s="1"/>
  <c r="L641" i="5"/>
  <c r="N641" i="5" s="1"/>
  <c r="L640" i="5"/>
  <c r="N640" i="5" s="1"/>
  <c r="L638" i="5"/>
  <c r="N638" i="5" s="1"/>
  <c r="L634" i="5"/>
  <c r="N634" i="5" s="1"/>
  <c r="L631" i="5"/>
  <c r="N631" i="5" s="1"/>
  <c r="L627" i="5"/>
  <c r="N627" i="5" s="1"/>
  <c r="L622" i="5"/>
  <c r="N622" i="5" s="1"/>
  <c r="L623" i="5"/>
  <c r="N623" i="5" s="1"/>
  <c r="L617" i="5"/>
  <c r="N617" i="5" s="1"/>
  <c r="L599" i="5"/>
  <c r="N599" i="5" s="1"/>
  <c r="L598" i="5"/>
  <c r="N598" i="5" s="1"/>
  <c r="L590" i="5"/>
  <c r="N590" i="5" s="1"/>
  <c r="L566" i="5"/>
  <c r="N566" i="5" s="1"/>
  <c r="L555" i="5"/>
  <c r="N555" i="5" s="1"/>
  <c r="L554" i="5"/>
  <c r="N554" i="5" s="1"/>
  <c r="L549" i="5"/>
  <c r="N549" i="5" s="1"/>
  <c r="L548" i="5"/>
  <c r="N548" i="5" s="1"/>
  <c r="L544" i="5"/>
  <c r="N544" i="5" s="1"/>
  <c r="L539" i="5"/>
  <c r="N539" i="5" s="1"/>
  <c r="L534" i="5"/>
  <c r="N534" i="5" s="1"/>
  <c r="L529" i="5"/>
  <c r="N529" i="5" s="1"/>
  <c r="L527" i="5"/>
  <c r="N527" i="5" s="1"/>
  <c r="L523" i="5"/>
  <c r="N523" i="5" s="1"/>
  <c r="L520" i="5"/>
  <c r="N520" i="5" s="1"/>
  <c r="L518" i="5"/>
  <c r="N518" i="5" s="1"/>
  <c r="L512" i="5"/>
  <c r="N512" i="5" s="1"/>
  <c r="L508" i="5"/>
  <c r="N508" i="5" s="1"/>
  <c r="L507" i="5"/>
  <c r="N507" i="5" s="1"/>
  <c r="L500" i="5"/>
  <c r="N500" i="5" s="1"/>
  <c r="L497" i="5"/>
  <c r="N497" i="5" s="1"/>
  <c r="L492" i="5"/>
  <c r="N492" i="5" s="1"/>
  <c r="L488" i="5"/>
  <c r="N488" i="5" s="1"/>
  <c r="L487" i="5"/>
  <c r="N487" i="5" s="1"/>
  <c r="L484" i="5"/>
  <c r="N484" i="5" s="1"/>
  <c r="L466" i="5"/>
  <c r="N466" i="5" s="1"/>
  <c r="L464" i="5"/>
  <c r="N464" i="5" s="1"/>
  <c r="L461" i="5"/>
  <c r="N461" i="5" s="1"/>
  <c r="L460" i="5"/>
  <c r="N460" i="5" s="1"/>
  <c r="L457" i="5"/>
  <c r="N457" i="5" s="1"/>
  <c r="L455" i="5"/>
  <c r="N455" i="5" s="1"/>
  <c r="L454" i="5"/>
  <c r="N454" i="5" s="1"/>
  <c r="L453" i="5"/>
  <c r="N453" i="5" s="1"/>
  <c r="L450" i="5"/>
  <c r="N450" i="5" s="1"/>
  <c r="L960" i="5"/>
  <c r="N960" i="5" s="1"/>
  <c r="L825" i="5"/>
  <c r="N825" i="5" s="1"/>
  <c r="L807" i="5"/>
  <c r="N807" i="5" s="1"/>
  <c r="L762" i="5"/>
  <c r="N762" i="5" s="1"/>
  <c r="L747" i="5"/>
  <c r="N747" i="5" s="1"/>
  <c r="L743" i="5"/>
  <c r="N743" i="5" s="1"/>
  <c r="L736" i="5"/>
  <c r="N736" i="5" s="1"/>
  <c r="L725" i="5"/>
  <c r="N725" i="5" s="1"/>
  <c r="L716" i="5"/>
  <c r="N716" i="5" s="1"/>
  <c r="L714" i="5"/>
  <c r="N714" i="5" s="1"/>
  <c r="L713" i="5"/>
  <c r="N713" i="5" s="1"/>
  <c r="L696" i="5"/>
  <c r="N696" i="5" s="1"/>
  <c r="L683" i="5"/>
  <c r="N683" i="5" s="1"/>
  <c r="L671" i="5"/>
  <c r="N671" i="5" s="1"/>
  <c r="L653" i="5"/>
  <c r="N653" i="5" s="1"/>
  <c r="L649" i="5"/>
  <c r="N649" i="5" s="1"/>
  <c r="L635" i="5"/>
  <c r="N635" i="5" s="1"/>
  <c r="L630" i="5"/>
  <c r="N630" i="5" s="1"/>
  <c r="L621" i="5"/>
  <c r="N621" i="5" s="1"/>
  <c r="L618" i="5"/>
  <c r="N618" i="5" s="1"/>
  <c r="L616" i="5"/>
  <c r="N616" i="5" s="1"/>
  <c r="L610" i="5"/>
  <c r="N610" i="5" s="1"/>
  <c r="L606" i="5"/>
  <c r="N606" i="5" s="1"/>
  <c r="L604" i="5"/>
  <c r="N604" i="5" s="1"/>
  <c r="L574" i="5"/>
  <c r="N574" i="5" s="1"/>
  <c r="L572" i="5"/>
  <c r="N572" i="5" s="1"/>
  <c r="L570" i="5"/>
  <c r="N570" i="5" s="1"/>
  <c r="L552" i="5"/>
  <c r="N552" i="5" s="1"/>
  <c r="L531" i="5"/>
  <c r="N531" i="5" s="1"/>
  <c r="L528" i="5"/>
  <c r="N528" i="5" s="1"/>
  <c r="L525" i="5"/>
  <c r="N525" i="5" s="1"/>
  <c r="L521" i="5"/>
  <c r="N521" i="5" s="1"/>
  <c r="L517" i="5"/>
  <c r="N517" i="5" s="1"/>
  <c r="L513" i="5"/>
  <c r="N513" i="5" s="1"/>
  <c r="L511" i="5"/>
  <c r="N511" i="5" s="1"/>
  <c r="L510" i="5"/>
  <c r="N510" i="5" s="1"/>
  <c r="L505" i="5"/>
  <c r="N505" i="5" s="1"/>
  <c r="L504" i="5"/>
  <c r="N504" i="5" s="1"/>
  <c r="L493" i="5"/>
  <c r="N493" i="5" s="1"/>
  <c r="L491" i="5"/>
  <c r="N491" i="5" s="1"/>
  <c r="L482" i="5"/>
  <c r="N482" i="5" s="1"/>
  <c r="L478" i="5"/>
  <c r="N478" i="5" s="1"/>
  <c r="L477" i="5"/>
  <c r="N477" i="5" s="1"/>
  <c r="L476" i="5"/>
  <c r="N476" i="5" s="1"/>
  <c r="L452" i="5"/>
  <c r="N452" i="5" s="1"/>
  <c r="L449" i="5"/>
  <c r="N449" i="5" s="1"/>
  <c r="L447" i="5"/>
  <c r="N447" i="5" s="1"/>
  <c r="L441" i="5"/>
  <c r="N441" i="5" s="1"/>
  <c r="L438" i="5"/>
  <c r="N438" i="5" s="1"/>
  <c r="L434" i="5"/>
  <c r="N434" i="5" s="1"/>
  <c r="L427" i="5"/>
  <c r="N427" i="5" s="1"/>
  <c r="L426" i="5"/>
  <c r="N426" i="5" s="1"/>
  <c r="L423" i="5"/>
  <c r="N423" i="5" s="1"/>
  <c r="L419" i="5"/>
  <c r="N419" i="5" s="1"/>
  <c r="L413" i="5"/>
  <c r="N413" i="5" s="1"/>
  <c r="L405" i="5"/>
  <c r="N405" i="5" s="1"/>
  <c r="L402" i="5"/>
  <c r="N402" i="5" s="1"/>
  <c r="L397" i="5"/>
  <c r="N397" i="5" s="1"/>
  <c r="L395" i="5"/>
  <c r="N395" i="5" s="1"/>
  <c r="L392" i="5"/>
  <c r="N392" i="5" s="1"/>
  <c r="L390" i="5"/>
  <c r="N390" i="5" s="1"/>
  <c r="L388" i="5"/>
  <c r="N388" i="5" s="1"/>
  <c r="L382" i="5"/>
  <c r="N382" i="5" s="1"/>
  <c r="L380" i="5"/>
  <c r="N380" i="5" s="1"/>
  <c r="L376" i="5"/>
  <c r="N376" i="5" s="1"/>
  <c r="L372" i="5"/>
  <c r="N372" i="5" s="1"/>
  <c r="L370" i="5"/>
  <c r="N370" i="5" s="1"/>
  <c r="L356" i="5"/>
  <c r="N356" i="5" s="1"/>
  <c r="L352" i="5"/>
  <c r="N352" i="5" s="1"/>
  <c r="L351" i="5"/>
  <c r="N351" i="5" s="1"/>
  <c r="L344" i="5"/>
  <c r="N344" i="5" s="1"/>
  <c r="L338" i="5"/>
  <c r="N338" i="5" s="1"/>
  <c r="L330" i="5"/>
  <c r="N330" i="5" s="1"/>
  <c r="L328" i="5"/>
  <c r="N328" i="5" s="1"/>
  <c r="L324" i="5"/>
  <c r="N324" i="5" s="1"/>
  <c r="L317" i="5"/>
  <c r="N317" i="5" s="1"/>
  <c r="L314" i="5"/>
  <c r="N314" i="5" s="1"/>
  <c r="L312" i="5"/>
  <c r="N312" i="5" s="1"/>
  <c r="L306" i="5"/>
  <c r="N306" i="5" s="1"/>
  <c r="L303" i="5"/>
  <c r="N303" i="5" s="1"/>
  <c r="L299" i="5"/>
  <c r="N299" i="5" s="1"/>
  <c r="L296" i="5"/>
  <c r="N296" i="5" s="1"/>
  <c r="L295" i="5"/>
  <c r="N295" i="5" s="1"/>
  <c r="L293" i="5"/>
  <c r="N293" i="5" s="1"/>
  <c r="L288" i="5"/>
  <c r="N288" i="5" s="1"/>
  <c r="L283" i="5"/>
  <c r="N283" i="5" s="1"/>
  <c r="L281" i="5"/>
  <c r="N281" i="5" s="1"/>
  <c r="L277" i="5"/>
  <c r="N277" i="5" s="1"/>
  <c r="L267" i="5"/>
  <c r="N267" i="5" s="1"/>
  <c r="L265" i="5"/>
  <c r="N265" i="5" s="1"/>
  <c r="L263" i="5"/>
  <c r="N263" i="5" s="1"/>
  <c r="L247" i="5"/>
  <c r="N247" i="5" s="1"/>
  <c r="L236" i="5"/>
  <c r="N236" i="5" s="1"/>
  <c r="L231" i="5"/>
  <c r="N231" i="5" s="1"/>
  <c r="L227" i="5"/>
  <c r="N227" i="5" s="1"/>
  <c r="L225" i="5"/>
  <c r="N225" i="5" s="1"/>
  <c r="L220" i="5"/>
  <c r="N220" i="5" s="1"/>
  <c r="L217" i="5"/>
  <c r="N217" i="5" s="1"/>
  <c r="L214" i="5"/>
  <c r="N214" i="5" s="1"/>
  <c r="L212" i="5"/>
  <c r="N212" i="5" s="1"/>
  <c r="L210" i="5"/>
  <c r="N210" i="5" s="1"/>
  <c r="L207" i="5"/>
  <c r="N207" i="5" s="1"/>
  <c r="L206" i="5"/>
  <c r="N206" i="5" s="1"/>
  <c r="L205" i="5"/>
  <c r="N205" i="5" s="1"/>
  <c r="L197" i="5"/>
  <c r="N197" i="5" s="1"/>
  <c r="L192" i="5"/>
  <c r="N192" i="5" s="1"/>
  <c r="L191" i="5"/>
  <c r="N191" i="5" s="1"/>
  <c r="L190" i="5"/>
  <c r="N190" i="5" s="1"/>
  <c r="L183" i="5"/>
  <c r="N183" i="5" s="1"/>
  <c r="L177" i="5"/>
  <c r="N177" i="5" s="1"/>
  <c r="L160" i="5"/>
  <c r="N160" i="5" s="1"/>
  <c r="L158" i="5"/>
  <c r="N158" i="5" s="1"/>
  <c r="L150" i="5"/>
  <c r="N150" i="5" s="1"/>
  <c r="L149" i="5"/>
  <c r="N149" i="5" s="1"/>
  <c r="L146" i="5"/>
  <c r="N146" i="5" s="1"/>
  <c r="L143" i="5"/>
  <c r="N143" i="5" s="1"/>
  <c r="L141" i="5"/>
  <c r="N141" i="5" s="1"/>
  <c r="L136" i="5"/>
  <c r="N136" i="5" s="1"/>
  <c r="L131" i="5"/>
  <c r="N131" i="5" s="1"/>
  <c r="L125" i="5"/>
  <c r="N125" i="5" s="1"/>
  <c r="L124" i="5"/>
  <c r="N124" i="5" s="1"/>
  <c r="L119" i="5"/>
  <c r="N119" i="5" s="1"/>
  <c r="L110" i="5"/>
  <c r="N110" i="5" s="1"/>
  <c r="L105" i="5"/>
  <c r="N105" i="5" s="1"/>
  <c r="L102" i="5"/>
  <c r="N102" i="5" s="1"/>
  <c r="L98" i="5"/>
  <c r="N98" i="5" s="1"/>
  <c r="L92" i="5"/>
  <c r="N92" i="5" s="1"/>
  <c r="L87" i="5"/>
  <c r="N87" i="5" s="1"/>
  <c r="L85" i="5"/>
  <c r="N85" i="5" s="1"/>
  <c r="L80" i="5"/>
  <c r="N80" i="5" s="1"/>
  <c r="L78" i="5"/>
  <c r="N78" i="5" s="1"/>
  <c r="L77" i="5"/>
  <c r="N77" i="5" s="1"/>
  <c r="L75" i="5"/>
  <c r="N75" i="5" s="1"/>
  <c r="L961" i="5"/>
  <c r="N961" i="5" s="1"/>
  <c r="L934" i="5"/>
  <c r="N934" i="5" s="1"/>
  <c r="L917" i="5"/>
  <c r="N917" i="5" s="1"/>
  <c r="L900" i="5"/>
  <c r="N900" i="5" s="1"/>
  <c r="L834" i="5"/>
  <c r="N834" i="5" s="1"/>
  <c r="L798" i="5"/>
  <c r="N798" i="5" s="1"/>
  <c r="L795" i="5"/>
  <c r="N795" i="5" s="1"/>
  <c r="L786" i="5"/>
  <c r="N786" i="5" s="1"/>
  <c r="L784" i="5"/>
  <c r="N784" i="5" s="1"/>
  <c r="L775" i="5"/>
  <c r="N775" i="5" s="1"/>
  <c r="L750" i="5"/>
  <c r="N750" i="5" s="1"/>
  <c r="L738" i="5"/>
  <c r="N738" i="5" s="1"/>
  <c r="L728" i="5"/>
  <c r="N728" i="5" s="1"/>
  <c r="L721" i="5"/>
  <c r="N721" i="5" s="1"/>
  <c r="L719" i="5"/>
  <c r="N719" i="5" s="1"/>
  <c r="L715" i="5"/>
  <c r="N715" i="5" s="1"/>
  <c r="L706" i="5"/>
  <c r="N706" i="5" s="1"/>
  <c r="L701" i="5"/>
  <c r="N701" i="5" s="1"/>
  <c r="L693" i="5"/>
  <c r="N693" i="5" s="1"/>
  <c r="L690" i="5"/>
  <c r="N690" i="5" s="1"/>
  <c r="L688" i="5"/>
  <c r="N688" i="5" s="1"/>
  <c r="L687" i="5"/>
  <c r="N687" i="5" s="1"/>
  <c r="L677" i="5"/>
  <c r="N677" i="5" s="1"/>
  <c r="L665" i="5"/>
  <c r="N665" i="5" s="1"/>
  <c r="L659" i="5"/>
  <c r="N659" i="5" s="1"/>
  <c r="L657" i="5"/>
  <c r="N657" i="5" s="1"/>
  <c r="L647" i="5"/>
  <c r="N647" i="5" s="1"/>
  <c r="L595" i="5"/>
  <c r="N595" i="5" s="1"/>
  <c r="L593" i="5"/>
  <c r="N593" i="5" s="1"/>
  <c r="L591" i="5"/>
  <c r="N591" i="5" s="1"/>
  <c r="L560" i="5"/>
  <c r="N560" i="5" s="1"/>
  <c r="L558" i="5"/>
  <c r="N558" i="5" s="1"/>
  <c r="L547" i="5"/>
  <c r="N547" i="5" s="1"/>
  <c r="L532" i="5"/>
  <c r="N532" i="5" s="1"/>
  <c r="L526" i="5"/>
  <c r="N526" i="5" s="1"/>
  <c r="L522" i="5"/>
  <c r="N522" i="5" s="1"/>
  <c r="L494" i="5"/>
  <c r="N494" i="5" s="1"/>
  <c r="L485" i="5"/>
  <c r="N485" i="5" s="1"/>
  <c r="L483" i="5"/>
  <c r="N483" i="5" s="1"/>
  <c r="L474" i="5"/>
  <c r="N474" i="5" s="1"/>
  <c r="L472" i="5"/>
  <c r="N472" i="5" s="1"/>
  <c r="L465" i="5"/>
  <c r="N465" i="5" s="1"/>
  <c r="L462" i="5"/>
  <c r="N462" i="5" s="1"/>
  <c r="L448" i="5"/>
  <c r="N448" i="5" s="1"/>
  <c r="L442" i="5"/>
  <c r="N442" i="5" s="1"/>
  <c r="L440" i="5"/>
  <c r="N440" i="5" s="1"/>
  <c r="L437" i="5"/>
  <c r="N437" i="5" s="1"/>
  <c r="L436" i="5"/>
  <c r="N436" i="5" s="1"/>
  <c r="L435" i="5"/>
  <c r="N435" i="5" s="1"/>
  <c r="L430" i="5"/>
  <c r="N430" i="5" s="1"/>
  <c r="L421" i="5"/>
  <c r="N421" i="5" s="1"/>
  <c r="L420" i="5"/>
  <c r="N420" i="5" s="1"/>
  <c r="L418" i="5"/>
  <c r="N418" i="5" s="1"/>
  <c r="L415" i="5"/>
  <c r="N415" i="5" s="1"/>
  <c r="L411" i="5"/>
  <c r="N411" i="5" s="1"/>
  <c r="L410" i="5"/>
  <c r="N410" i="5" s="1"/>
  <c r="L403" i="5"/>
  <c r="N403" i="5" s="1"/>
  <c r="L401" i="5"/>
  <c r="N401" i="5" s="1"/>
  <c r="L398" i="5"/>
  <c r="N398" i="5" s="1"/>
  <c r="L394" i="5"/>
  <c r="N394" i="5" s="1"/>
  <c r="L393" i="5"/>
  <c r="N393" i="5" s="1"/>
  <c r="L385" i="5"/>
  <c r="N385" i="5" s="1"/>
  <c r="L384" i="5"/>
  <c r="N384" i="5" s="1"/>
  <c r="L381" i="5"/>
  <c r="N381" i="5" s="1"/>
  <c r="L379" i="5"/>
  <c r="N379" i="5" s="1"/>
  <c r="L368" i="5"/>
  <c r="N368" i="5" s="1"/>
  <c r="L364" i="5"/>
  <c r="N364" i="5" s="1"/>
  <c r="L365" i="5"/>
  <c r="N365" i="5" s="1"/>
  <c r="L355" i="5"/>
  <c r="N355" i="5" s="1"/>
  <c r="L353" i="5"/>
  <c r="N353" i="5" s="1"/>
  <c r="L350" i="5"/>
  <c r="N350" i="5" s="1"/>
  <c r="L348" i="5"/>
  <c r="N348" i="5" s="1"/>
  <c r="L345" i="5"/>
  <c r="N345" i="5" s="1"/>
  <c r="L343" i="5"/>
  <c r="N343" i="5" s="1"/>
  <c r="L342" i="5"/>
  <c r="N342" i="5" s="1"/>
  <c r="L341" i="5"/>
  <c r="N341" i="5" s="1"/>
  <c r="L340" i="5"/>
  <c r="N340" i="5" s="1"/>
  <c r="L336" i="5"/>
  <c r="N336" i="5" s="1"/>
  <c r="L335" i="5"/>
  <c r="N335" i="5" s="1"/>
  <c r="L333" i="5"/>
  <c r="N333" i="5" s="1"/>
  <c r="L332" i="5"/>
  <c r="N332" i="5" s="1"/>
  <c r="L325" i="5"/>
  <c r="N325" i="5" s="1"/>
  <c r="L310" i="5"/>
  <c r="N310" i="5" s="1"/>
  <c r="L309" i="5"/>
  <c r="N309" i="5" s="1"/>
  <c r="L307" i="5"/>
  <c r="N307" i="5" s="1"/>
  <c r="L305" i="5"/>
  <c r="N305" i="5" s="1"/>
  <c r="L301" i="5"/>
  <c r="N301" i="5" s="1"/>
  <c r="L298" i="5"/>
  <c r="N298" i="5" s="1"/>
  <c r="L297" i="5"/>
  <c r="N297" i="5" s="1"/>
  <c r="L294" i="5"/>
  <c r="N294" i="5" s="1"/>
  <c r="L289" i="5"/>
  <c r="N289" i="5" s="1"/>
  <c r="L287" i="5"/>
  <c r="N287" i="5" s="1"/>
  <c r="L286" i="5"/>
  <c r="N286" i="5" s="1"/>
  <c r="L284" i="5"/>
  <c r="N284" i="5" s="1"/>
  <c r="L282" i="5"/>
  <c r="N282" i="5" s="1"/>
  <c r="L279" i="5"/>
  <c r="N279" i="5" s="1"/>
  <c r="L275" i="5"/>
  <c r="N275" i="5" s="1"/>
  <c r="L274" i="5"/>
  <c r="N274" i="5" s="1"/>
  <c r="L273" i="5"/>
  <c r="N273" i="5" s="1"/>
  <c r="L271" i="5"/>
  <c r="N271" i="5" s="1"/>
  <c r="L262" i="5"/>
  <c r="N262" i="5" s="1"/>
  <c r="L260" i="5"/>
  <c r="N260" i="5" s="1"/>
  <c r="L258" i="5"/>
  <c r="N258" i="5" s="1"/>
  <c r="L257" i="5"/>
  <c r="N257" i="5" s="1"/>
  <c r="L254" i="5"/>
  <c r="N254" i="5" s="1"/>
  <c r="L250" i="5"/>
  <c r="N250" i="5" s="1"/>
  <c r="L248" i="5"/>
  <c r="N248" i="5" s="1"/>
  <c r="L245" i="5"/>
  <c r="N245" i="5" s="1"/>
  <c r="L244" i="5"/>
  <c r="N244" i="5" s="1"/>
  <c r="L238" i="5"/>
  <c r="N238" i="5" s="1"/>
  <c r="L237" i="5"/>
  <c r="N237" i="5" s="1"/>
  <c r="L228" i="5"/>
  <c r="N228" i="5" s="1"/>
  <c r="L226" i="5"/>
  <c r="N226" i="5" s="1"/>
  <c r="L221" i="5"/>
  <c r="N221" i="5" s="1"/>
  <c r="L219" i="5"/>
  <c r="N219" i="5" s="1"/>
  <c r="L218" i="5"/>
  <c r="N218" i="5" s="1"/>
  <c r="L213" i="5"/>
  <c r="N213" i="5" s="1"/>
  <c r="L211" i="5"/>
  <c r="N211" i="5" s="1"/>
  <c r="L209" i="5"/>
  <c r="N209" i="5" s="1"/>
  <c r="L203" i="5"/>
  <c r="N203" i="5" s="1"/>
  <c r="L200" i="5"/>
  <c r="N200" i="5" s="1"/>
  <c r="L187" i="5"/>
  <c r="N187" i="5" s="1"/>
  <c r="L170" i="5"/>
  <c r="N170" i="5" s="1"/>
  <c r="L168" i="5"/>
  <c r="N168" i="5" s="1"/>
  <c r="L166" i="5"/>
  <c r="N166" i="5" s="1"/>
  <c r="L155" i="5"/>
  <c r="N155" i="5" s="1"/>
  <c r="L154" i="5"/>
  <c r="N154" i="5" s="1"/>
  <c r="L151" i="5"/>
  <c r="N151" i="5" s="1"/>
  <c r="L142" i="5"/>
  <c r="N142" i="5" s="1"/>
  <c r="L140" i="5"/>
  <c r="N140" i="5" s="1"/>
  <c r="L133" i="5"/>
  <c r="N133" i="5" s="1"/>
  <c r="L128" i="5"/>
  <c r="N128" i="5" s="1"/>
  <c r="L113" i="5"/>
  <c r="N113" i="5" s="1"/>
  <c r="L108" i="5"/>
  <c r="N108" i="5" s="1"/>
  <c r="L107" i="5"/>
  <c r="N107" i="5" s="1"/>
  <c r="L106" i="5"/>
  <c r="N106" i="5" s="1"/>
  <c r="L104" i="5"/>
  <c r="N104" i="5" s="1"/>
  <c r="L93" i="5"/>
  <c r="N93" i="5" s="1"/>
  <c r="L94" i="5"/>
  <c r="N94" i="5" s="1"/>
  <c r="L84" i="5"/>
  <c r="N84" i="5" s="1"/>
  <c r="L71" i="5"/>
  <c r="N71" i="5" s="1"/>
  <c r="L67" i="5"/>
  <c r="N67" i="5" s="1"/>
  <c r="L769" i="5"/>
  <c r="N769" i="5" s="1"/>
  <c r="L730" i="5"/>
  <c r="N730" i="5" s="1"/>
  <c r="L680" i="5"/>
  <c r="N680" i="5" s="1"/>
  <c r="L676" i="5"/>
  <c r="N676" i="5" s="1"/>
  <c r="L670" i="5"/>
  <c r="N670" i="5" s="1"/>
  <c r="L667" i="5"/>
  <c r="N667" i="5" s="1"/>
  <c r="L629" i="5"/>
  <c r="N629" i="5" s="1"/>
  <c r="L607" i="5"/>
  <c r="N607" i="5" s="1"/>
  <c r="L594" i="5"/>
  <c r="N594" i="5" s="1"/>
  <c r="L589" i="5"/>
  <c r="N589" i="5" s="1"/>
  <c r="L568" i="5"/>
  <c r="N568" i="5" s="1"/>
  <c r="L524" i="5"/>
  <c r="N524" i="5" s="1"/>
  <c r="L516" i="5"/>
  <c r="N516" i="5" s="1"/>
  <c r="L502" i="5"/>
  <c r="N502" i="5" s="1"/>
  <c r="L475" i="5"/>
  <c r="N475" i="5" s="1"/>
  <c r="L471" i="5"/>
  <c r="N471" i="5" s="1"/>
  <c r="L469" i="5"/>
  <c r="N469" i="5" s="1"/>
  <c r="L446" i="5"/>
  <c r="N446" i="5" s="1"/>
  <c r="L428" i="5"/>
  <c r="N428" i="5" s="1"/>
  <c r="L422" i="5"/>
  <c r="N422" i="5" s="1"/>
  <c r="L412" i="5"/>
  <c r="N412" i="5" s="1"/>
  <c r="L396" i="5"/>
  <c r="N396" i="5" s="1"/>
  <c r="L369" i="5"/>
  <c r="N369" i="5" s="1"/>
  <c r="L366" i="5"/>
  <c r="N366" i="5" s="1"/>
  <c r="L347" i="5"/>
  <c r="N347" i="5" s="1"/>
  <c r="L346" i="5"/>
  <c r="N346" i="5" s="1"/>
  <c r="L334" i="5"/>
  <c r="N334" i="5" s="1"/>
  <c r="L331" i="5"/>
  <c r="N331" i="5" s="1"/>
  <c r="L329" i="5"/>
  <c r="N329" i="5" s="1"/>
  <c r="L327" i="5"/>
  <c r="N327" i="5" s="1"/>
  <c r="L322" i="5"/>
  <c r="N322" i="5" s="1"/>
  <c r="L321" i="5"/>
  <c r="N321" i="5" s="1"/>
  <c r="L318" i="5"/>
  <c r="N318" i="5" s="1"/>
  <c r="L315" i="5"/>
  <c r="N315" i="5" s="1"/>
  <c r="L308" i="5"/>
  <c r="N308" i="5" s="1"/>
  <c r="L304" i="5"/>
  <c r="N304" i="5" s="1"/>
  <c r="L300" i="5"/>
  <c r="N300" i="5" s="1"/>
  <c r="L292" i="5"/>
  <c r="N292" i="5" s="1"/>
  <c r="L256" i="5"/>
  <c r="N256" i="5" s="1"/>
  <c r="L243" i="5"/>
  <c r="N243" i="5" s="1"/>
  <c r="L241" i="5"/>
  <c r="N241" i="5" s="1"/>
  <c r="L240" i="5"/>
  <c r="N240" i="5" s="1"/>
  <c r="L235" i="5"/>
  <c r="N235" i="5" s="1"/>
  <c r="L230" i="5"/>
  <c r="N230" i="5" s="1"/>
  <c r="L215" i="5"/>
  <c r="N215" i="5" s="1"/>
  <c r="L201" i="5"/>
  <c r="N201" i="5" s="1"/>
  <c r="L196" i="5"/>
  <c r="N196" i="5" s="1"/>
  <c r="L195" i="5"/>
  <c r="N195" i="5" s="1"/>
  <c r="L193" i="5"/>
  <c r="N193" i="5" s="1"/>
  <c r="L182" i="5"/>
  <c r="N182" i="5" s="1"/>
  <c r="L180" i="5"/>
  <c r="N180" i="5" s="1"/>
  <c r="L174" i="5"/>
  <c r="N174" i="5" s="1"/>
  <c r="L171" i="5"/>
  <c r="N171" i="5" s="1"/>
  <c r="L129" i="5"/>
  <c r="N129" i="5" s="1"/>
  <c r="L123" i="5"/>
  <c r="N123" i="5" s="1"/>
  <c r="L122" i="5"/>
  <c r="N122" i="5" s="1"/>
  <c r="L103" i="5"/>
  <c r="N103" i="5" s="1"/>
  <c r="L97" i="5"/>
  <c r="N97" i="5" s="1"/>
  <c r="L99" i="5"/>
  <c r="N99" i="5" s="1"/>
  <c r="L88" i="5"/>
  <c r="N88" i="5" s="1"/>
  <c r="L81" i="5"/>
  <c r="N81" i="5" s="1"/>
  <c r="L79" i="5"/>
  <c r="N79" i="5" s="1"/>
  <c r="L69" i="5"/>
  <c r="N69" i="5" s="1"/>
  <c r="L68" i="5"/>
  <c r="N68" i="5" s="1"/>
  <c r="L66" i="5"/>
  <c r="N66" i="5" s="1"/>
  <c r="L63" i="5"/>
  <c r="N63" i="5" s="1"/>
  <c r="L60" i="5"/>
  <c r="N60" i="5" s="1"/>
  <c r="L59" i="5"/>
  <c r="N59" i="5" s="1"/>
  <c r="L56" i="5"/>
  <c r="N56" i="5" s="1"/>
  <c r="L53" i="5"/>
  <c r="N53" i="5" s="1"/>
  <c r="L50" i="5"/>
  <c r="N50" i="5" s="1"/>
  <c r="L47" i="5"/>
  <c r="N47" i="5" s="1"/>
  <c r="L43" i="5"/>
  <c r="N43" i="5" s="1"/>
  <c r="L39" i="5"/>
  <c r="N39" i="5" s="1"/>
  <c r="L40" i="5"/>
  <c r="N40" i="5" s="1"/>
  <c r="L36" i="5"/>
  <c r="N36" i="5" s="1"/>
  <c r="L674" i="5"/>
  <c r="N674" i="5" s="1"/>
  <c r="L587" i="5"/>
  <c r="N587" i="5" s="1"/>
  <c r="L530" i="5"/>
  <c r="N530" i="5" s="1"/>
  <c r="L468" i="5"/>
  <c r="N468" i="5" s="1"/>
  <c r="L451" i="5"/>
  <c r="N451" i="5" s="1"/>
  <c r="L431" i="5"/>
  <c r="N431" i="5" s="1"/>
  <c r="L429" i="5"/>
  <c r="N429" i="5" s="1"/>
  <c r="L400" i="5"/>
  <c r="N400" i="5" s="1"/>
  <c r="L320" i="5"/>
  <c r="N320" i="5" s="1"/>
  <c r="L276" i="5"/>
  <c r="N276" i="5" s="1"/>
  <c r="L270" i="5"/>
  <c r="N270" i="5" s="1"/>
  <c r="L269" i="5"/>
  <c r="N269" i="5" s="1"/>
  <c r="L259" i="5"/>
  <c r="N259" i="5" s="1"/>
  <c r="L252" i="5"/>
  <c r="N252" i="5" s="1"/>
  <c r="L224" i="5"/>
  <c r="N224" i="5" s="1"/>
  <c r="L181" i="5"/>
  <c r="N181" i="5" s="1"/>
  <c r="L173" i="5"/>
  <c r="N173" i="5" s="1"/>
  <c r="L169" i="5"/>
  <c r="N169" i="5" s="1"/>
  <c r="L163" i="5"/>
  <c r="N163" i="5" s="1"/>
  <c r="L159" i="5"/>
  <c r="N159" i="5" s="1"/>
  <c r="L157" i="5"/>
  <c r="N157" i="5" s="1"/>
  <c r="L132" i="5"/>
  <c r="N132" i="5" s="1"/>
  <c r="L90" i="5"/>
  <c r="N90" i="5" s="1"/>
  <c r="L70" i="5"/>
  <c r="N70" i="5" s="1"/>
  <c r="L37" i="5"/>
  <c r="N37" i="5" s="1"/>
  <c r="L34" i="5"/>
  <c r="N34" i="5" s="1"/>
  <c r="L33" i="5"/>
  <c r="N33" i="5" s="1"/>
  <c r="L800" i="5"/>
  <c r="N800" i="5" s="1"/>
  <c r="L771" i="5"/>
  <c r="N771" i="5" s="1"/>
  <c r="L741" i="5"/>
  <c r="N741" i="5" s="1"/>
  <c r="L723" i="5"/>
  <c r="N723" i="5" s="1"/>
  <c r="L699" i="5"/>
  <c r="N699" i="5" s="1"/>
  <c r="L563" i="5"/>
  <c r="N563" i="5" s="1"/>
  <c r="L553" i="5"/>
  <c r="N553" i="5" s="1"/>
  <c r="L536" i="5"/>
  <c r="N536" i="5" s="1"/>
  <c r="L509" i="5"/>
  <c r="N509" i="5" s="1"/>
  <c r="L490" i="5"/>
  <c r="N490" i="5" s="1"/>
  <c r="L479" i="5"/>
  <c r="N479" i="5" s="1"/>
  <c r="L463" i="5"/>
  <c r="N463" i="5" s="1"/>
  <c r="L432" i="5"/>
  <c r="N432" i="5" s="1"/>
  <c r="L425" i="5"/>
  <c r="N425" i="5" s="1"/>
  <c r="L409" i="5"/>
  <c r="N409" i="5" s="1"/>
  <c r="L406" i="5"/>
  <c r="N406" i="5" s="1"/>
  <c r="L386" i="5"/>
  <c r="N386" i="5" s="1"/>
  <c r="L378" i="5"/>
  <c r="N378" i="5" s="1"/>
  <c r="L374" i="5"/>
  <c r="N374" i="5" s="1"/>
  <c r="L371" i="5"/>
  <c r="N371" i="5" s="1"/>
  <c r="L362" i="5"/>
  <c r="N362" i="5" s="1"/>
  <c r="L313" i="5"/>
  <c r="N313" i="5" s="1"/>
  <c r="L291" i="5"/>
  <c r="N291" i="5" s="1"/>
  <c r="L285" i="5"/>
  <c r="N285" i="5" s="1"/>
  <c r="L278" i="5"/>
  <c r="N278" i="5" s="1"/>
  <c r="L272" i="5"/>
  <c r="N272" i="5" s="1"/>
  <c r="L268" i="5"/>
  <c r="N268" i="5" s="1"/>
  <c r="L255" i="5"/>
  <c r="N255" i="5" s="1"/>
  <c r="L253" i="5"/>
  <c r="N253" i="5" s="1"/>
  <c r="L246" i="5"/>
  <c r="N246" i="5" s="1"/>
  <c r="L239" i="5"/>
  <c r="N239" i="5" s="1"/>
  <c r="L208" i="5"/>
  <c r="N208" i="5" s="1"/>
  <c r="L188" i="5"/>
  <c r="N188" i="5" s="1"/>
  <c r="L813" i="5"/>
  <c r="N813" i="5" s="1"/>
  <c r="L774" i="5"/>
  <c r="N774" i="5" s="1"/>
  <c r="L767" i="5"/>
  <c r="N767" i="5" s="1"/>
  <c r="L757" i="5"/>
  <c r="N757" i="5" s="1"/>
  <c r="L739" i="5"/>
  <c r="N739" i="5" s="1"/>
  <c r="L700" i="5"/>
  <c r="N700" i="5" s="1"/>
  <c r="L658" i="5"/>
  <c r="N658" i="5" s="1"/>
  <c r="L645" i="5"/>
  <c r="N645" i="5" s="1"/>
  <c r="L633" i="5"/>
  <c r="N633" i="5" s="1"/>
  <c r="L624" i="5"/>
  <c r="N624" i="5" s="1"/>
  <c r="L576" i="5"/>
  <c r="N576" i="5" s="1"/>
  <c r="L573" i="5"/>
  <c r="N573" i="5" s="1"/>
  <c r="L551" i="5"/>
  <c r="N551" i="5" s="1"/>
  <c r="L546" i="5"/>
  <c r="N546" i="5" s="1"/>
  <c r="L541" i="5"/>
  <c r="N541" i="5" s="1"/>
  <c r="L515" i="5"/>
  <c r="N515" i="5" s="1"/>
  <c r="L503" i="5"/>
  <c r="N503" i="5" s="1"/>
  <c r="L498" i="5"/>
  <c r="N498" i="5" s="1"/>
  <c r="L481" i="5"/>
  <c r="N481" i="5" s="1"/>
  <c r="L480" i="5"/>
  <c r="N480" i="5" s="1"/>
  <c r="L473" i="5"/>
  <c r="N473" i="5" s="1"/>
  <c r="L467" i="5"/>
  <c r="N467" i="5" s="1"/>
  <c r="L459" i="5"/>
  <c r="N459" i="5" s="1"/>
  <c r="L456" i="5"/>
  <c r="N456" i="5" s="1"/>
  <c r="L445" i="5"/>
  <c r="N445" i="5" s="1"/>
  <c r="L417" i="5"/>
  <c r="N417" i="5" s="1"/>
  <c r="L414" i="5"/>
  <c r="N414" i="5" s="1"/>
  <c r="L404" i="5"/>
  <c r="N404" i="5" s="1"/>
  <c r="L399" i="5"/>
  <c r="N399" i="5" s="1"/>
  <c r="L377" i="5"/>
  <c r="N377" i="5" s="1"/>
  <c r="L367" i="5"/>
  <c r="N367" i="5" s="1"/>
  <c r="L363" i="5"/>
  <c r="N363" i="5" s="1"/>
  <c r="L358" i="5"/>
  <c r="N358" i="5" s="1"/>
  <c r="L361" i="5"/>
  <c r="N361" i="5" s="1"/>
  <c r="L359" i="5"/>
  <c r="N359" i="5" s="1"/>
  <c r="L349" i="5"/>
  <c r="N349" i="5" s="1"/>
  <c r="L339" i="5"/>
  <c r="N339" i="5" s="1"/>
  <c r="L337" i="5"/>
  <c r="N337" i="5" s="1"/>
  <c r="L326" i="5"/>
  <c r="N326" i="5" s="1"/>
  <c r="L323" i="5"/>
  <c r="N323" i="5" s="1"/>
  <c r="L319" i="5"/>
  <c r="N319" i="5" s="1"/>
  <c r="L311" i="5"/>
  <c r="N311" i="5" s="1"/>
  <c r="L266" i="5"/>
  <c r="N266" i="5" s="1"/>
  <c r="L251" i="5"/>
  <c r="N251" i="5" s="1"/>
  <c r="L233" i="5"/>
  <c r="N233" i="5" s="1"/>
  <c r="L223" i="5"/>
  <c r="N223" i="5" s="1"/>
  <c r="L204" i="5"/>
  <c r="N204" i="5" s="1"/>
  <c r="L198" i="5"/>
  <c r="N198" i="5" s="1"/>
  <c r="L186" i="5"/>
  <c r="N186" i="5" s="1"/>
  <c r="L185" i="5"/>
  <c r="N185" i="5" s="1"/>
  <c r="L178" i="5"/>
  <c r="N178" i="5" s="1"/>
  <c r="L172" i="5"/>
  <c r="N172" i="5" s="1"/>
  <c r="L167" i="5"/>
  <c r="N167" i="5" s="1"/>
  <c r="L164" i="5"/>
  <c r="N164" i="5" s="1"/>
  <c r="L156" i="5"/>
  <c r="N156" i="5" s="1"/>
  <c r="L152" i="5"/>
  <c r="N152" i="5" s="1"/>
  <c r="L147" i="5"/>
  <c r="N147" i="5" s="1"/>
  <c r="L145" i="5"/>
  <c r="N145" i="5" s="1"/>
  <c r="L137" i="5"/>
  <c r="N137" i="5" s="1"/>
  <c r="L116" i="5"/>
  <c r="N116" i="5" s="1"/>
  <c r="L114" i="5"/>
  <c r="N114" i="5" s="1"/>
  <c r="L89" i="5"/>
  <c r="N89" i="5" s="1"/>
  <c r="L86" i="5"/>
  <c r="N86" i="5" s="1"/>
  <c r="L83" i="5"/>
  <c r="N83" i="5" s="1"/>
  <c r="L82" i="5"/>
  <c r="N82" i="5" s="1"/>
  <c r="L76" i="5"/>
  <c r="N76" i="5" s="1"/>
  <c r="L72" i="5"/>
  <c r="N72" i="5" s="1"/>
  <c r="L61" i="5"/>
  <c r="N61" i="5" s="1"/>
  <c r="L62" i="5"/>
  <c r="N62" i="5" s="1"/>
  <c r="L57" i="5"/>
  <c r="N57" i="5" s="1"/>
  <c r="L55" i="5"/>
  <c r="N55" i="5" s="1"/>
  <c r="L51" i="5"/>
  <c r="N51" i="5" s="1"/>
  <c r="L44" i="5"/>
  <c r="N44" i="5" s="1"/>
  <c r="L42" i="5"/>
  <c r="N42" i="5" s="1"/>
  <c r="L38" i="5"/>
  <c r="N38" i="5" s="1"/>
  <c r="L881" i="5"/>
  <c r="N881" i="5" s="1"/>
  <c r="L783" i="5"/>
  <c r="N783" i="5" s="1"/>
  <c r="L770" i="5"/>
  <c r="N770" i="5" s="1"/>
  <c r="L754" i="5"/>
  <c r="N754" i="5" s="1"/>
  <c r="L746" i="5"/>
  <c r="N746" i="5" s="1"/>
  <c r="L712" i="5"/>
  <c r="N712" i="5" s="1"/>
  <c r="L695" i="5"/>
  <c r="N695" i="5" s="1"/>
  <c r="L681" i="5"/>
  <c r="N681" i="5" s="1"/>
  <c r="L626" i="5"/>
  <c r="N626" i="5" s="1"/>
  <c r="L601" i="5"/>
  <c r="N601" i="5" s="1"/>
  <c r="L540" i="5"/>
  <c r="N540" i="5" s="1"/>
  <c r="L470" i="5"/>
  <c r="N470" i="5" s="1"/>
  <c r="L444" i="5"/>
  <c r="N444" i="5" s="1"/>
  <c r="L439" i="5"/>
  <c r="N439" i="5" s="1"/>
  <c r="L433" i="5"/>
  <c r="N433" i="5" s="1"/>
  <c r="L424" i="5"/>
  <c r="N424" i="5" s="1"/>
  <c r="L416" i="5"/>
  <c r="N416" i="5" s="1"/>
  <c r="L408" i="5"/>
  <c r="N408" i="5" s="1"/>
  <c r="L391" i="5"/>
  <c r="N391" i="5" s="1"/>
  <c r="L387" i="5"/>
  <c r="N387" i="5" s="1"/>
  <c r="L383" i="5"/>
  <c r="N383" i="5" s="1"/>
  <c r="L375" i="5"/>
  <c r="N375" i="5" s="1"/>
  <c r="L373" i="5"/>
  <c r="N373" i="5" s="1"/>
  <c r="L357" i="5"/>
  <c r="N357" i="5" s="1"/>
  <c r="L316" i="5"/>
  <c r="N316" i="5" s="1"/>
  <c r="L302" i="5"/>
  <c r="N302" i="5" s="1"/>
  <c r="L290" i="5"/>
  <c r="N290" i="5" s="1"/>
  <c r="L261" i="5"/>
  <c r="N261" i="5" s="1"/>
  <c r="L249" i="5"/>
  <c r="N249" i="5" s="1"/>
  <c r="L242" i="5"/>
  <c r="N242" i="5" s="1"/>
  <c r="L229" i="5"/>
  <c r="N229" i="5" s="1"/>
  <c r="L202" i="5"/>
  <c r="N202" i="5" s="1"/>
  <c r="L194" i="5"/>
  <c r="N194" i="5" s="1"/>
  <c r="L184" i="5"/>
  <c r="N184" i="5" s="1"/>
  <c r="L175" i="5"/>
  <c r="N175" i="5" s="1"/>
  <c r="L161" i="5"/>
  <c r="N161" i="5" s="1"/>
  <c r="L153" i="5"/>
  <c r="N153" i="5" s="1"/>
  <c r="L148" i="5"/>
  <c r="N148" i="5" s="1"/>
  <c r="L138" i="5"/>
  <c r="N138" i="5" s="1"/>
  <c r="L127" i="5"/>
  <c r="N127" i="5" s="1"/>
  <c r="L120" i="5"/>
  <c r="N120" i="5" s="1"/>
  <c r="L117" i="5"/>
  <c r="N117" i="5" s="1"/>
  <c r="L111" i="5"/>
  <c r="N111" i="5" s="1"/>
  <c r="L96" i="5"/>
  <c r="N96" i="5" s="1"/>
  <c r="L64" i="5"/>
  <c r="N64" i="5" s="1"/>
  <c r="L54" i="5"/>
  <c r="N54" i="5" s="1"/>
  <c r="L49" i="5"/>
  <c r="N49" i="5" s="1"/>
  <c r="L48" i="5"/>
  <c r="N48" i="5" s="1"/>
  <c r="L829" i="5"/>
  <c r="N829" i="5" s="1"/>
  <c r="L776" i="5"/>
  <c r="N776" i="5" s="1"/>
  <c r="L678" i="5"/>
  <c r="N678" i="5" s="1"/>
  <c r="L625" i="5"/>
  <c r="N625" i="5" s="1"/>
  <c r="L557" i="5"/>
  <c r="N557" i="5" s="1"/>
  <c r="L458" i="5"/>
  <c r="N458" i="5" s="1"/>
  <c r="L443" i="5"/>
  <c r="N443" i="5" s="1"/>
  <c r="L407" i="5"/>
  <c r="N407" i="5" s="1"/>
  <c r="L389" i="5"/>
  <c r="N389" i="5" s="1"/>
  <c r="L360" i="5"/>
  <c r="N360" i="5" s="1"/>
  <c r="L354" i="5"/>
  <c r="N354" i="5" s="1"/>
  <c r="L280" i="5"/>
  <c r="N280" i="5" s="1"/>
  <c r="L264" i="5"/>
  <c r="N264" i="5" s="1"/>
  <c r="L234" i="5"/>
  <c r="N234" i="5" s="1"/>
  <c r="L232" i="5"/>
  <c r="N232" i="5" s="1"/>
  <c r="L222" i="5"/>
  <c r="N222" i="5" s="1"/>
  <c r="L216" i="5"/>
  <c r="N216" i="5" s="1"/>
  <c r="L199" i="5"/>
  <c r="N199" i="5" s="1"/>
  <c r="L189" i="5"/>
  <c r="N189" i="5" s="1"/>
  <c r="L179" i="5"/>
  <c r="N179" i="5" s="1"/>
  <c r="L115" i="5"/>
  <c r="N115" i="5" s="1"/>
  <c r="L41" i="5"/>
  <c r="N41" i="5" s="1"/>
  <c r="L139" i="5"/>
  <c r="N139" i="5" s="1"/>
  <c r="L126" i="5"/>
  <c r="N126" i="5" s="1"/>
  <c r="L74" i="5"/>
  <c r="N74" i="5" s="1"/>
  <c r="L52" i="5"/>
  <c r="N52" i="5" s="1"/>
  <c r="L45" i="5"/>
  <c r="N45" i="5" s="1"/>
  <c r="L176" i="5"/>
  <c r="N176" i="5" s="1"/>
  <c r="L162" i="5"/>
  <c r="N162" i="5" s="1"/>
  <c r="L112" i="5"/>
  <c r="N112" i="5" s="1"/>
  <c r="L100" i="5"/>
  <c r="N100" i="5" s="1"/>
  <c r="L65" i="5"/>
  <c r="N65" i="5" s="1"/>
  <c r="L135" i="5"/>
  <c r="N135" i="5" s="1"/>
  <c r="L91" i="5"/>
  <c r="N91" i="5" s="1"/>
  <c r="L73" i="5"/>
  <c r="N73" i="5" s="1"/>
  <c r="L35" i="5"/>
  <c r="N35" i="5" s="1"/>
  <c r="L134" i="5"/>
  <c r="N134" i="5" s="1"/>
  <c r="L121" i="5"/>
  <c r="N121" i="5" s="1"/>
  <c r="L109" i="5"/>
  <c r="N109" i="5" s="1"/>
  <c r="L101" i="5"/>
  <c r="N101" i="5" s="1"/>
  <c r="L58" i="5"/>
  <c r="N58" i="5" s="1"/>
  <c r="L46" i="5"/>
  <c r="N46" i="5" s="1"/>
  <c r="L165" i="5"/>
  <c r="N165" i="5" s="1"/>
  <c r="L95" i="5"/>
  <c r="N95" i="5" s="1"/>
  <c r="L144" i="5"/>
  <c r="N144" i="5" s="1"/>
  <c r="L130" i="5"/>
  <c r="N130" i="5" s="1"/>
  <c r="L118" i="5"/>
  <c r="N118" i="5" s="1"/>
  <c r="L31" i="5"/>
  <c r="M31" i="5"/>
  <c r="M16" i="5"/>
  <c r="L77" i="7" s="1"/>
  <c r="L16" i="5"/>
  <c r="K77" i="7" s="1"/>
  <c r="L81" i="7" l="1"/>
  <c r="N31" i="5"/>
  <c r="K83" i="7"/>
  <c r="K81" i="7"/>
  <c r="D93" i="7" l="1"/>
  <c r="E22" i="5" s="1"/>
  <c r="D95" i="7"/>
  <c r="L83" i="7"/>
  <c r="D89" i="7"/>
  <c r="L89" i="7"/>
  <c r="D91" i="7" s="1"/>
  <c r="D87" i="7"/>
  <c r="D97" i="7"/>
</calcChain>
</file>

<file path=xl/comments1.xml><?xml version="1.0" encoding="utf-8"?>
<comments xmlns="http://schemas.openxmlformats.org/spreadsheetml/2006/main">
  <authors>
    <author>Juan</author>
    <author>Juan Carlos Martinez Rojas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Juan:</t>
        </r>
        <r>
          <rPr>
            <sz val="9"/>
            <color indexed="81"/>
            <rFont val="Tahoma"/>
            <family val="2"/>
          </rPr>
          <t xml:space="preserve">
Cómo justificamos éste valor</t>
        </r>
      </text>
    </comment>
    <comment ref="E10" authorId="1">
      <text>
        <r>
          <rPr>
            <b/>
            <sz val="9"/>
            <color indexed="81"/>
            <rFont val="Tahoma"/>
            <family val="2"/>
          </rPr>
          <t>Juan Carlos Martinez Rojas:</t>
        </r>
        <r>
          <rPr>
            <sz val="9"/>
            <color indexed="81"/>
            <rFont val="Tahoma"/>
            <family val="2"/>
          </rPr>
          <t xml:space="preserve">
Cómo justificamos éste valor</t>
        </r>
      </text>
    </comment>
  </commentList>
</comments>
</file>

<file path=xl/comments2.xml><?xml version="1.0" encoding="utf-8"?>
<comments xmlns="http://schemas.openxmlformats.org/spreadsheetml/2006/main">
  <authors>
    <author>Juan</author>
    <author>Usuario</author>
  </authors>
  <commentList>
    <comment ref="F10" authorId="0">
      <text>
        <r>
          <rPr>
            <b/>
            <sz val="9"/>
            <color indexed="81"/>
            <rFont val="Tahoma"/>
            <family val="2"/>
          </rPr>
          <t>Juan:</t>
        </r>
        <r>
          <rPr>
            <sz val="9"/>
            <color indexed="81"/>
            <rFont val="Tahoma"/>
            <family val="2"/>
          </rPr>
          <t xml:space="preserve">
Cómo justificamos éste valor</t>
        </r>
      </text>
    </comment>
    <comment ref="D23" authorId="1">
      <text>
        <r>
          <rPr>
            <sz val="8"/>
            <color indexed="81"/>
            <rFont val="Tahoma"/>
            <family val="2"/>
          </rPr>
          <t>WACC El Weighted Average Cost of Capital (WACC) o Promedio Ponderado del Costo de Capital</t>
        </r>
      </text>
    </comment>
    <comment ref="E23" authorId="1">
      <text>
        <r>
          <rPr>
            <b/>
            <sz val="8"/>
            <color indexed="81"/>
            <rFont val="Tahoma"/>
            <family val="2"/>
          </rPr>
          <t>Distribución de probabilidad PERT, para simulación en RISK</t>
        </r>
      </text>
    </comment>
  </commentList>
</comments>
</file>

<file path=xl/sharedStrings.xml><?xml version="1.0" encoding="utf-8"?>
<sst xmlns="http://schemas.openxmlformats.org/spreadsheetml/2006/main" count="185" uniqueCount="162">
  <si>
    <t>Item</t>
  </si>
  <si>
    <t>Quantity</t>
  </si>
  <si>
    <t>Cost/each</t>
  </si>
  <si>
    <t>Hardware</t>
  </si>
  <si>
    <t>PCs</t>
  </si>
  <si>
    <t>Software</t>
  </si>
  <si>
    <t>Year 1</t>
  </si>
  <si>
    <t>Year 0</t>
  </si>
  <si>
    <t>Year 2</t>
  </si>
  <si>
    <t>Year 3</t>
  </si>
  <si>
    <t>Year 5</t>
  </si>
  <si>
    <t>Year 4</t>
  </si>
  <si>
    <t>Total Benefit</t>
  </si>
  <si>
    <t>Annual Maintenance Costs</t>
  </si>
  <si>
    <t>Total Investment</t>
  </si>
  <si>
    <t>NPV</t>
  </si>
  <si>
    <t>Interest Rate</t>
  </si>
  <si>
    <t>TOTAL Benefit</t>
  </si>
  <si>
    <t>Net Cash Flow (not including org. Investment)</t>
  </si>
  <si>
    <t>TOTAL Costs</t>
  </si>
  <si>
    <t>MODELO ESTÁTICO</t>
  </si>
  <si>
    <t>Variables Ingresos</t>
  </si>
  <si>
    <t>MODELO DINÁMICO</t>
  </si>
  <si>
    <t>Número de Iteraciones</t>
  </si>
  <si>
    <t>Ensayos</t>
  </si>
  <si>
    <t>NCF_1</t>
  </si>
  <si>
    <t>NCF_0</t>
  </si>
  <si>
    <t>NCF_2</t>
  </si>
  <si>
    <t>NCF_4</t>
  </si>
  <si>
    <t>NCF_5</t>
  </si>
  <si>
    <t>Montecarlo Simulation</t>
  </si>
  <si>
    <t>Revenue per Advertisement</t>
  </si>
  <si>
    <t>Revenue Per Transactions</t>
  </si>
  <si>
    <t xml:space="preserve">Revenue Ads Per Year </t>
  </si>
  <si>
    <t xml:space="preserve">Value per user per year </t>
  </si>
  <si>
    <t>PLANNING</t>
  </si>
  <si>
    <t>Cost Business Technology Executive Team</t>
  </si>
  <si>
    <t>1.0</t>
  </si>
  <si>
    <t>1.1</t>
  </si>
  <si>
    <t>1.2</t>
  </si>
  <si>
    <t>1.3</t>
  </si>
  <si>
    <t>BUILD</t>
  </si>
  <si>
    <t xml:space="preserve">Development Hardware </t>
  </si>
  <si>
    <t>Workstations</t>
  </si>
  <si>
    <t xml:space="preserve">High-powered laptops </t>
  </si>
  <si>
    <t>Office Software / cost of licenses</t>
  </si>
  <si>
    <r>
      <t xml:space="preserve">Product  Manager </t>
    </r>
    <r>
      <rPr>
        <sz val="8"/>
        <color theme="1"/>
        <rFont val="Arial Narrow"/>
        <family val="2"/>
      </rPr>
      <t>(rate / hour)</t>
    </r>
  </si>
  <si>
    <r>
      <t xml:space="preserve">Scrum Master </t>
    </r>
    <r>
      <rPr>
        <sz val="8"/>
        <color theme="1"/>
        <rFont val="Arial Narrow"/>
        <family val="2"/>
      </rPr>
      <t>(rate / hour)</t>
    </r>
  </si>
  <si>
    <r>
      <t xml:space="preserve">Financial Officer (FINANCE) </t>
    </r>
    <r>
      <rPr>
        <sz val="8"/>
        <color theme="1"/>
        <rFont val="Arial Narrow"/>
        <family val="2"/>
      </rPr>
      <t>(rate / hour)</t>
    </r>
  </si>
  <si>
    <r>
      <t xml:space="preserve">R&amp;D chief engineer (INNOVATION) </t>
    </r>
    <r>
      <rPr>
        <sz val="8"/>
        <color theme="1"/>
        <rFont val="Arial Narrow"/>
        <family val="2"/>
      </rPr>
      <t>(rate / hour)</t>
    </r>
  </si>
  <si>
    <r>
      <t xml:space="preserve">Sales/Marketing (CUSTOMER) </t>
    </r>
    <r>
      <rPr>
        <sz val="8"/>
        <color theme="1"/>
        <rFont val="Arial Narrow"/>
        <family val="2"/>
      </rPr>
      <t>(rate / hour)</t>
    </r>
  </si>
  <si>
    <r>
      <t xml:space="preserve">Operations (OPERATIONS) </t>
    </r>
    <r>
      <rPr>
        <sz val="8"/>
        <color theme="1"/>
        <rFont val="Arial Narrow"/>
        <family val="2"/>
      </rPr>
      <t>(rate / hour)</t>
    </r>
  </si>
  <si>
    <t>2.0</t>
  </si>
  <si>
    <t>2.1.1</t>
  </si>
  <si>
    <t xml:space="preserve">Development Software  </t>
  </si>
  <si>
    <t>2.1.2</t>
  </si>
  <si>
    <t>2.1.3</t>
  </si>
  <si>
    <t>Business Architecture  (sub-contracting rate / hour)</t>
  </si>
  <si>
    <t>Data Architecture (sub-contracting rate / hour)</t>
  </si>
  <si>
    <t xml:space="preserve">Technology Architecture </t>
  </si>
  <si>
    <t>3.0</t>
  </si>
  <si>
    <t>OPERATION</t>
  </si>
  <si>
    <t>Cloud Computing Data Center Costs</t>
  </si>
  <si>
    <t xml:space="preserve">Staff members </t>
  </si>
  <si>
    <t>Supervisors</t>
  </si>
  <si>
    <t>Managers</t>
  </si>
  <si>
    <t>Operation Team Costs</t>
  </si>
  <si>
    <t>apple</t>
  </si>
  <si>
    <t>ejemplo cobran licencias x numero de usuarios, podia ser un valor inicial y un % cada año</t>
  </si>
  <si>
    <t>Facturado anualmente</t>
  </si>
  <si>
    <t>20 usuario 79 dolares al mes</t>
  </si>
  <si>
    <t>Una única compra, requiere volver a adquirir la licencia para nuevas versiones perpetua</t>
  </si>
  <si>
    <t>MS Office 365 enterprise Professional MAC (Outlook, Word, Excel, PowerPoint y OneNote)</t>
  </si>
  <si>
    <t>Y2</t>
  </si>
  <si>
    <t>Y3</t>
  </si>
  <si>
    <t>Y4</t>
  </si>
  <si>
    <t>Y5</t>
  </si>
  <si>
    <t>1.4</t>
  </si>
  <si>
    <t>Project Team</t>
  </si>
  <si>
    <r>
      <t xml:space="preserve">Project Manager </t>
    </r>
    <r>
      <rPr>
        <sz val="8"/>
        <color theme="1"/>
        <rFont val="Arial Narrow"/>
        <family val="2"/>
      </rPr>
      <t>(rate / hour)</t>
    </r>
  </si>
  <si>
    <t>Lead business analyst</t>
  </si>
  <si>
    <t>Tiempo actividades de Iniciación</t>
  </si>
  <si>
    <t>Tiempo actividades de Planeación</t>
  </si>
  <si>
    <t>Ejecución</t>
  </si>
  <si>
    <t>Cierre</t>
  </si>
  <si>
    <t>Meses</t>
  </si>
  <si>
    <t>de 24 días</t>
  </si>
  <si>
    <t>HRAS X SEM</t>
  </si>
  <si>
    <t>Full Time Mes</t>
  </si>
  <si>
    <t>Full Time year0</t>
  </si>
  <si>
    <t>PROYECTO</t>
  </si>
  <si>
    <t>OPERACIÓN</t>
  </si>
  <si>
    <t>Y1-Y5</t>
  </si>
  <si>
    <t>Hrs año</t>
  </si>
  <si>
    <t>Y0 (Dias)</t>
  </si>
  <si>
    <t>Y0 (Horas)</t>
  </si>
  <si>
    <t>Y0 Planeacion</t>
  </si>
  <si>
    <t>Y0 Build</t>
  </si>
  <si>
    <t>Y0</t>
  </si>
  <si>
    <t>Vlr Hr /USD</t>
  </si>
  <si>
    <t>El modelo se encuentra en USD ajustado a la economía Colombiana</t>
  </si>
  <si>
    <t>Servers</t>
  </si>
  <si>
    <t>Color Laser Printers</t>
  </si>
  <si>
    <t>Telecommunications</t>
  </si>
  <si>
    <t>Tape Backup</t>
  </si>
  <si>
    <t>Cabling w/plugs</t>
  </si>
  <si>
    <t>Routers w/Firewall</t>
  </si>
  <si>
    <t>Switches</t>
  </si>
  <si>
    <t>Telephone Connection Costs</t>
  </si>
  <si>
    <t>Solo primer año</t>
  </si>
  <si>
    <t>1.5</t>
  </si>
  <si>
    <t xml:space="preserve">Application Architecture </t>
  </si>
  <si>
    <r>
      <t xml:space="preserve">Services - </t>
    </r>
    <r>
      <rPr>
        <sz val="8"/>
        <color theme="1"/>
        <rFont val="Arial Narrow"/>
        <family val="2"/>
      </rPr>
      <t>FTE (Time Operations Hr / Year)</t>
    </r>
  </si>
  <si>
    <t>dedicación</t>
  </si>
  <si>
    <t>Developers (4)</t>
  </si>
  <si>
    <t>Analysts working (2)</t>
  </si>
  <si>
    <t>4 recursos para el año 0 el 100 % y el resto 50 %</t>
  </si>
  <si>
    <t>Solo contrato para el año 0 el tiempo de duracipon de la creacion del APP, para el resto  si considero las horas anuales laborales</t>
  </si>
  <si>
    <t>Y=0</t>
  </si>
  <si>
    <t>*</t>
  </si>
  <si>
    <t>3.1</t>
  </si>
  <si>
    <t>3.2</t>
  </si>
  <si>
    <t>Total Costs</t>
  </si>
  <si>
    <t>Net Cash Flow (including org. Investment)</t>
  </si>
  <si>
    <t>RESULTS</t>
  </si>
  <si>
    <t>PAY-BACK</t>
  </si>
  <si>
    <t>Total Benefits</t>
  </si>
  <si>
    <t>ROI</t>
  </si>
  <si>
    <t>COST - BENEFIT RATIO</t>
  </si>
  <si>
    <t>Profitabilyty INDEX</t>
  </si>
  <si>
    <t>Internal Rate of Return</t>
  </si>
  <si>
    <t>[1]</t>
  </si>
  <si>
    <t>[2]</t>
  </si>
  <si>
    <t>[3]</t>
  </si>
  <si>
    <t>[4]</t>
  </si>
  <si>
    <t>[5]</t>
  </si>
  <si>
    <t>[6]</t>
  </si>
  <si>
    <t>Min</t>
  </si>
  <si>
    <t>Max</t>
  </si>
  <si>
    <t>Variables Aleatorias continuas (Distribución Uniforme)</t>
  </si>
  <si>
    <t>RISK</t>
  </si>
  <si>
    <t>Results</t>
  </si>
  <si>
    <t>VPN - Resultados Excel</t>
  </si>
  <si>
    <t>Media</t>
  </si>
  <si>
    <t>Mediana</t>
  </si>
  <si>
    <t>Valor Min</t>
  </si>
  <si>
    <t>Valor Max</t>
  </si>
  <si>
    <t>Curtosis</t>
  </si>
  <si>
    <t>Coeficiente asimetría</t>
  </si>
  <si>
    <t>Clase</t>
  </si>
  <si>
    <t>y mayor...</t>
  </si>
  <si>
    <t>Fr Relativa</t>
  </si>
  <si>
    <t>Fr</t>
  </si>
  <si>
    <t>% acumulado</t>
  </si>
  <si>
    <t>Simulation</t>
  </si>
  <si>
    <t>MsVisio</t>
  </si>
  <si>
    <t>Project Management MsProject</t>
  </si>
  <si>
    <t xml:space="preserve">MsAccces (Data Base) </t>
  </si>
  <si>
    <t>Android</t>
  </si>
  <si>
    <t>Desv Est</t>
  </si>
  <si>
    <t>Q of insurance / Registered users</t>
  </si>
  <si>
    <t xml:space="preserve">Revenue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</si>
</sst>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&quot;$&quot;#,##0;[Red]\-&quot;$&quot;#,##0"/>
    <numFmt numFmtId="165" formatCode="_(* #,##0_);_(* \(#,##0\);_(* &quot;-&quot;??_);_(@_)"/>
    <numFmt numFmtId="166" formatCode="_-* #,##0\ _€_-;\-* #,##0\ _€_-;_-* &quot;-&quot;??\ _€_-;_-@_-"/>
    <numFmt numFmtId="167" formatCode="[$$-240A]\ #,##0.00_ ;\-[$$-240A]\ #,##0.00\ "/>
    <numFmt numFmtId="168" formatCode="[$$-240A]\ #,##0"/>
    <numFmt numFmtId="169" formatCode="[$$-240A]\ #,##0_ ;\-[$$-240A]\ #,##0\ "/>
    <numFmt numFmtId="170" formatCode="[$$-409]#,##0"/>
    <numFmt numFmtId="171" formatCode="_(&quot;$&quot;\ * #,##0_);_(&quot;$&quot;\ * \(#,##0\);_(&quot;$&quot;\ * &quot;-&quot;??_);_(@_)"/>
    <numFmt numFmtId="172" formatCode="[$$-540A]#,##0.0"/>
    <numFmt numFmtId="173" formatCode="&quot;$&quot;#,##0.0;[Red]\-&quot;$&quot;#,##0.0"/>
    <numFmt numFmtId="174" formatCode="_(* #,##0.0_);_(* \(#,##0.0\);_(* &quot;-&quot;??_);_(@_)"/>
    <numFmt numFmtId="175" formatCode="0\ &quot;*&quot;"/>
    <numFmt numFmtId="176" formatCode="_(* #,##0.0000_);_(* \(#,##0.0000\);_(* &quot;-&quot;??_);_(@_)"/>
    <numFmt numFmtId="177" formatCode="[$$-409]#,##0.00"/>
    <numFmt numFmtId="178" formatCode="0.0"/>
    <numFmt numFmtId="179" formatCode="#,##0.0_);\(#,##0.0\)"/>
    <numFmt numFmtId="180" formatCode="_-* #,##0.00\ _€_-;\-* #,##0.00\ _€_-;_-* &quot;-&quot;??\ _€_-;_-@_-"/>
    <numFmt numFmtId="181" formatCode="_(* #,##0_);_(* \(#,##0\);_(* &quot;-&quot;????_);_(@_)"/>
    <numFmt numFmtId="182" formatCode="[$$-409]#,##0.0"/>
  </numFmts>
  <fonts count="4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rgb="FF00B0F0"/>
      <name val="Arial Narrow"/>
      <family val="2"/>
    </font>
    <font>
      <b/>
      <sz val="10"/>
      <color rgb="FFFF0000"/>
      <name val="Arial Narrow"/>
      <family val="2"/>
    </font>
    <font>
      <b/>
      <sz val="12"/>
      <color theme="0"/>
      <name val="Arial Narrow"/>
      <family val="2"/>
    </font>
    <font>
      <b/>
      <sz val="10"/>
      <color rgb="FF00B0F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rgb="FFFF0000"/>
      <name val="Arial Narrow"/>
      <family val="2"/>
    </font>
    <font>
      <i/>
      <sz val="10"/>
      <color theme="1"/>
      <name val="Arial Narrow"/>
      <family val="2"/>
    </font>
    <font>
      <b/>
      <sz val="10"/>
      <color theme="4" tint="-0.499984740745262"/>
      <name val="Arial Narrow"/>
      <family val="2"/>
    </font>
    <font>
      <b/>
      <sz val="15"/>
      <color theme="0"/>
      <name val="Arial Narrow"/>
      <family val="2"/>
    </font>
    <font>
      <b/>
      <sz val="11"/>
      <color theme="1"/>
      <name val="Arial Narrow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i/>
      <sz val="11"/>
      <color theme="1"/>
      <name val="Arial Narrow"/>
      <family val="2"/>
    </font>
    <font>
      <sz val="20"/>
      <color theme="1"/>
      <name val="Arial Narrow"/>
      <family val="2"/>
    </font>
    <font>
      <sz val="8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1"/>
      <color rgb="FF00B0F0"/>
      <name val="Arial Narrow"/>
      <family val="2"/>
    </font>
    <font>
      <sz val="12"/>
      <color rgb="FFFF0000"/>
      <name val="Arial Narrow"/>
      <family val="2"/>
    </font>
    <font>
      <sz val="25"/>
      <color theme="4" tint="-0.499984740745262"/>
      <name val="Arial Narrow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5"/>
      <color theme="4" tint="-0.499984740745262"/>
      <name val="Arial Narrow"/>
      <family val="2"/>
    </font>
    <font>
      <i/>
      <sz val="12"/>
      <color theme="1"/>
      <name val="Calibri"/>
      <family val="2"/>
      <scheme val="minor"/>
    </font>
    <font>
      <sz val="10"/>
      <color theme="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9" fillId="0" borderId="0"/>
    <xf numFmtId="43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44" fontId="39" fillId="0" borderId="0" applyFont="0" applyFill="0" applyBorder="0" applyAlignment="0" applyProtection="0"/>
  </cellStyleXfs>
  <cellXfs count="307">
    <xf numFmtId="0" fontId="0" fillId="0" borderId="0" xfId="0"/>
    <xf numFmtId="0" fontId="6" fillId="0" borderId="0" xfId="0" applyFont="1"/>
    <xf numFmtId="0" fontId="4" fillId="0" borderId="0" xfId="0" applyFont="1"/>
    <xf numFmtId="165" fontId="4" fillId="0" borderId="0" xfId="2" applyNumberFormat="1" applyFont="1"/>
    <xf numFmtId="0" fontId="4" fillId="0" borderId="2" xfId="0" applyFont="1" applyBorder="1"/>
    <xf numFmtId="165" fontId="4" fillId="0" borderId="0" xfId="0" applyNumberFormat="1" applyFont="1"/>
    <xf numFmtId="0" fontId="9" fillId="4" borderId="0" xfId="0" applyFont="1" applyFill="1" applyBorder="1" applyAlignment="1">
      <alignment horizontal="center" vertical="center"/>
    </xf>
    <xf numFmtId="0" fontId="4" fillId="0" borderId="10" xfId="0" applyFont="1" applyBorder="1"/>
    <xf numFmtId="0" fontId="4" fillId="0" borderId="11" xfId="0" applyFont="1" applyBorder="1"/>
    <xf numFmtId="9" fontId="4" fillId="0" borderId="0" xfId="0" applyNumberFormat="1" applyFont="1"/>
    <xf numFmtId="0" fontId="10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right" vertical="center" wrapText="1"/>
    </xf>
    <xf numFmtId="164" fontId="7" fillId="0" borderId="0" xfId="0" applyNumberFormat="1" applyFont="1" applyFill="1" applyBorder="1" applyAlignment="1">
      <alignment horizontal="right" vertical="center" wrapText="1"/>
    </xf>
    <xf numFmtId="164" fontId="8" fillId="0" borderId="0" xfId="0" applyNumberFormat="1" applyFont="1" applyFill="1"/>
    <xf numFmtId="0" fontId="14" fillId="0" borderId="0" xfId="0" applyFont="1" applyFill="1"/>
    <xf numFmtId="0" fontId="4" fillId="0" borderId="0" xfId="0" applyFont="1" applyFill="1"/>
    <xf numFmtId="164" fontId="12" fillId="7" borderId="0" xfId="0" applyNumberFormat="1" applyFont="1" applyFill="1" applyBorder="1"/>
    <xf numFmtId="165" fontId="15" fillId="3" borderId="2" xfId="0" applyNumberFormat="1" applyFont="1" applyFill="1" applyBorder="1"/>
    <xf numFmtId="165" fontId="15" fillId="3" borderId="3" xfId="0" applyNumberFormat="1" applyFont="1" applyFill="1" applyBorder="1"/>
    <xf numFmtId="165" fontId="8" fillId="5" borderId="0" xfId="2" applyNumberFormat="1" applyFont="1" applyFill="1" applyBorder="1"/>
    <xf numFmtId="0" fontId="16" fillId="4" borderId="0" xfId="0" applyFont="1" applyFill="1" applyBorder="1" applyAlignment="1">
      <alignment horizontal="left" vertical="center"/>
    </xf>
    <xf numFmtId="166" fontId="20" fillId="4" borderId="0" xfId="2" applyNumberFormat="1" applyFont="1" applyFill="1" applyBorder="1"/>
    <xf numFmtId="0" fontId="5" fillId="0" borderId="7" xfId="0" applyFont="1" applyBorder="1"/>
    <xf numFmtId="9" fontId="5" fillId="9" borderId="7" xfId="0" applyNumberFormat="1" applyFont="1" applyFill="1" applyBorder="1" applyAlignment="1">
      <alignment horizontal="right"/>
    </xf>
    <xf numFmtId="0" fontId="5" fillId="0" borderId="0" xfId="0" applyFont="1"/>
    <xf numFmtId="0" fontId="6" fillId="6" borderId="0" xfId="0" applyFont="1" applyFill="1" applyBorder="1" applyAlignment="1">
      <alignment horizontal="center" vertical="center"/>
    </xf>
    <xf numFmtId="166" fontId="14" fillId="6" borderId="0" xfId="2" applyNumberFormat="1" applyFont="1" applyFill="1" applyBorder="1" applyAlignment="1">
      <alignment vertical="center"/>
    </xf>
    <xf numFmtId="166" fontId="4" fillId="6" borderId="0" xfId="2" applyNumberFormat="1" applyFont="1" applyFill="1" applyBorder="1" applyAlignment="1">
      <alignment vertical="center"/>
    </xf>
    <xf numFmtId="166" fontId="6" fillId="6" borderId="0" xfId="2" applyNumberFormat="1" applyFont="1" applyFill="1" applyBorder="1" applyAlignment="1">
      <alignment vertical="center"/>
    </xf>
    <xf numFmtId="166" fontId="9" fillId="4" borderId="0" xfId="2" applyNumberFormat="1" applyFont="1" applyFill="1" applyBorder="1" applyAlignment="1">
      <alignment vertical="center"/>
    </xf>
    <xf numFmtId="166" fontId="21" fillId="4" borderId="0" xfId="2" applyNumberFormat="1" applyFont="1" applyFill="1" applyBorder="1" applyAlignment="1">
      <alignment vertical="center"/>
    </xf>
    <xf numFmtId="0" fontId="22" fillId="5" borderId="12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166" fontId="5" fillId="0" borderId="0" xfId="0" applyNumberFormat="1" applyFont="1"/>
    <xf numFmtId="168" fontId="5" fillId="0" borderId="0" xfId="0" applyNumberFormat="1" applyFont="1"/>
    <xf numFmtId="169" fontId="5" fillId="0" borderId="0" xfId="0" applyNumberFormat="1" applyFont="1"/>
    <xf numFmtId="165" fontId="5" fillId="0" borderId="0" xfId="2" applyNumberFormat="1" applyFont="1"/>
    <xf numFmtId="170" fontId="4" fillId="0" borderId="0" xfId="0" applyNumberFormat="1" applyFont="1"/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8" xfId="0" applyFont="1" applyBorder="1"/>
    <xf numFmtId="0" fontId="6" fillId="0" borderId="0" xfId="0" applyFont="1" applyFill="1"/>
    <xf numFmtId="0" fontId="4" fillId="0" borderId="4" xfId="0" applyFont="1" applyBorder="1"/>
    <xf numFmtId="0" fontId="4" fillId="0" borderId="6" xfId="0" applyFont="1" applyBorder="1"/>
    <xf numFmtId="0" fontId="4" fillId="0" borderId="9" xfId="0" applyFont="1" applyBorder="1"/>
    <xf numFmtId="170" fontId="4" fillId="0" borderId="0" xfId="0" applyNumberFormat="1" applyFont="1" applyFill="1"/>
    <xf numFmtId="0" fontId="4" fillId="0" borderId="0" xfId="0" applyFont="1" applyBorder="1" applyAlignment="1">
      <alignment horizontal="center" vertical="center"/>
    </xf>
    <xf numFmtId="164" fontId="4" fillId="0" borderId="0" xfId="0" applyNumberFormat="1" applyFont="1" applyBorder="1" applyAlignment="1">
      <alignment vertical="center"/>
    </xf>
    <xf numFmtId="171" fontId="4" fillId="0" borderId="0" xfId="3" applyNumberFormat="1" applyFont="1"/>
    <xf numFmtId="0" fontId="4" fillId="0" borderId="0" xfId="0" applyFont="1" applyFill="1" applyBorder="1"/>
    <xf numFmtId="170" fontId="4" fillId="0" borderId="0" xfId="0" applyNumberFormat="1" applyFont="1" applyFill="1" applyBorder="1"/>
    <xf numFmtId="164" fontId="4" fillId="0" borderId="0" xfId="0" applyNumberFormat="1" applyFont="1" applyFill="1" applyBorder="1"/>
    <xf numFmtId="0" fontId="6" fillId="0" borderId="0" xfId="0" applyFont="1" applyAlignment="1">
      <alignment horizontal="center"/>
    </xf>
    <xf numFmtId="0" fontId="4" fillId="0" borderId="0" xfId="0" applyFont="1" applyBorder="1" applyAlignment="1"/>
    <xf numFmtId="43" fontId="4" fillId="0" borderId="0" xfId="2" applyFont="1"/>
    <xf numFmtId="43" fontId="4" fillId="0" borderId="0" xfId="0" applyNumberFormat="1" applyFont="1"/>
    <xf numFmtId="1" fontId="4" fillId="0" borderId="0" xfId="0" applyNumberFormat="1" applyFont="1" applyFill="1" applyBorder="1" applyAlignment="1">
      <alignment horizontal="center"/>
    </xf>
    <xf numFmtId="165" fontId="4" fillId="0" borderId="0" xfId="2" applyNumberFormat="1" applyFont="1" applyFill="1" applyBorder="1"/>
    <xf numFmtId="0" fontId="4" fillId="0" borderId="0" xfId="0" applyNumberFormat="1" applyFont="1"/>
    <xf numFmtId="164" fontId="13" fillId="0" borderId="0" xfId="0" applyNumberFormat="1" applyFont="1" applyFill="1" applyBorder="1" applyAlignment="1">
      <alignment horizontal="right" vertical="center" wrapText="1"/>
    </xf>
    <xf numFmtId="165" fontId="13" fillId="0" borderId="0" xfId="2" applyNumberFormat="1" applyFont="1" applyFill="1" applyBorder="1"/>
    <xf numFmtId="0" fontId="9" fillId="0" borderId="0" xfId="0" applyFont="1" applyFill="1" applyBorder="1" applyAlignment="1">
      <alignment horizontal="center" vertical="center"/>
    </xf>
    <xf numFmtId="0" fontId="4" fillId="0" borderId="10" xfId="0" applyFont="1" applyFill="1" applyBorder="1"/>
    <xf numFmtId="164" fontId="4" fillId="0" borderId="0" xfId="0" applyNumberFormat="1" applyFont="1" applyFill="1" applyBorder="1" applyAlignment="1">
      <alignment vertical="center"/>
    </xf>
    <xf numFmtId="0" fontId="6" fillId="0" borderId="0" xfId="0" applyFont="1" applyFill="1" applyBorder="1"/>
    <xf numFmtId="0" fontId="4" fillId="0" borderId="0" xfId="0" applyFont="1" applyFill="1" applyBorder="1" applyAlignment="1">
      <alignment horizontal="center" vertical="center" wrapText="1"/>
    </xf>
    <xf numFmtId="164" fontId="11" fillId="0" borderId="0" xfId="0" applyNumberFormat="1" applyFont="1" applyFill="1" applyBorder="1" applyAlignment="1">
      <alignment horizontal="right" vertical="center" wrapText="1"/>
    </xf>
    <xf numFmtId="0" fontId="4" fillId="0" borderId="0" xfId="0" applyFont="1" applyBorder="1" applyAlignment="1">
      <alignment horizontal="center" vertical="center" wrapText="1"/>
    </xf>
    <xf numFmtId="164" fontId="11" fillId="0" borderId="0" xfId="0" applyNumberFormat="1" applyFont="1" applyFill="1" applyBorder="1"/>
    <xf numFmtId="165" fontId="11" fillId="0" borderId="0" xfId="2" applyNumberFormat="1" applyFont="1" applyFill="1" applyBorder="1"/>
    <xf numFmtId="0" fontId="6" fillId="3" borderId="19" xfId="0" applyFont="1" applyFill="1" applyBorder="1"/>
    <xf numFmtId="0" fontId="4" fillId="3" borderId="20" xfId="0" applyFont="1" applyFill="1" applyBorder="1"/>
    <xf numFmtId="0" fontId="4" fillId="3" borderId="21" xfId="0" applyFont="1" applyFill="1" applyBorder="1"/>
    <xf numFmtId="0" fontId="4" fillId="3" borderId="19" xfId="0" applyFont="1" applyFill="1" applyBorder="1"/>
    <xf numFmtId="165" fontId="4" fillId="0" borderId="15" xfId="2" applyNumberFormat="1" applyFont="1" applyBorder="1"/>
    <xf numFmtId="165" fontId="4" fillId="0" borderId="15" xfId="0" applyNumberFormat="1" applyFont="1" applyBorder="1"/>
    <xf numFmtId="170" fontId="4" fillId="0" borderId="15" xfId="0" applyNumberFormat="1" applyFont="1" applyBorder="1"/>
    <xf numFmtId="0" fontId="4" fillId="0" borderId="15" xfId="0" applyFont="1" applyBorder="1"/>
    <xf numFmtId="165" fontId="4" fillId="3" borderId="19" xfId="2" applyNumberFormat="1" applyFont="1" applyFill="1" applyBorder="1"/>
    <xf numFmtId="165" fontId="4" fillId="3" borderId="20" xfId="2" applyNumberFormat="1" applyFont="1" applyFill="1" applyBorder="1"/>
    <xf numFmtId="165" fontId="4" fillId="3" borderId="21" xfId="2" applyNumberFormat="1" applyFont="1" applyFill="1" applyBorder="1"/>
    <xf numFmtId="171" fontId="4" fillId="0" borderId="15" xfId="3" applyNumberFormat="1" applyFont="1" applyBorder="1"/>
    <xf numFmtId="171" fontId="17" fillId="10" borderId="0" xfId="3" applyNumberFormat="1" applyFont="1" applyFill="1"/>
    <xf numFmtId="0" fontId="4" fillId="12" borderId="2" xfId="0" applyFont="1" applyFill="1" applyBorder="1"/>
    <xf numFmtId="0" fontId="4" fillId="12" borderId="3" xfId="0" applyFont="1" applyFill="1" applyBorder="1"/>
    <xf numFmtId="0" fontId="4" fillId="12" borderId="1" xfId="0" applyFont="1" applyFill="1" applyBorder="1"/>
    <xf numFmtId="9" fontId="4" fillId="0" borderId="7" xfId="0" applyNumberFormat="1" applyFont="1" applyBorder="1"/>
    <xf numFmtId="0" fontId="4" fillId="12" borderId="17" xfId="0" applyFont="1" applyFill="1" applyBorder="1"/>
    <xf numFmtId="0" fontId="4" fillId="12" borderId="18" xfId="0" applyFont="1" applyFill="1" applyBorder="1"/>
    <xf numFmtId="0" fontId="4" fillId="0" borderId="0" xfId="0" applyFont="1" applyBorder="1" applyAlignment="1">
      <alignment vertical="center" wrapText="1"/>
    </xf>
    <xf numFmtId="1" fontId="4" fillId="0" borderId="23" xfId="0" applyNumberFormat="1" applyFont="1" applyFill="1" applyBorder="1" applyAlignment="1">
      <alignment horizontal="center"/>
    </xf>
    <xf numFmtId="170" fontId="4" fillId="0" borderId="23" xfId="0" applyNumberFormat="1" applyFont="1" applyFill="1" applyBorder="1"/>
    <xf numFmtId="1" fontId="4" fillId="0" borderId="24" xfId="0" applyNumberFormat="1" applyFont="1" applyFill="1" applyBorder="1" applyAlignment="1">
      <alignment horizontal="center"/>
    </xf>
    <xf numFmtId="170" fontId="4" fillId="0" borderId="24" xfId="0" applyNumberFormat="1" applyFont="1" applyFill="1" applyBorder="1"/>
    <xf numFmtId="0" fontId="4" fillId="0" borderId="7" xfId="0" applyFont="1" applyFill="1" applyBorder="1" applyAlignment="1">
      <alignment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164" fontId="11" fillId="0" borderId="24" xfId="0" applyNumberFormat="1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/>
    </xf>
    <xf numFmtId="164" fontId="4" fillId="0" borderId="23" xfId="0" applyNumberFormat="1" applyFont="1" applyBorder="1"/>
    <xf numFmtId="0" fontId="4" fillId="0" borderId="24" xfId="0" applyFont="1" applyBorder="1" applyAlignment="1">
      <alignment horizontal="center"/>
    </xf>
    <xf numFmtId="164" fontId="4" fillId="0" borderId="24" xfId="0" applyNumberFormat="1" applyFont="1" applyBorder="1"/>
    <xf numFmtId="0" fontId="4" fillId="0" borderId="24" xfId="0" applyFont="1" applyBorder="1" applyAlignment="1">
      <alignment horizontal="center" vertical="center"/>
    </xf>
    <xf numFmtId="164" fontId="4" fillId="0" borderId="24" xfId="0" applyNumberFormat="1" applyFont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6" fillId="0" borderId="0" xfId="0" applyFont="1" applyBorder="1" applyAlignment="1">
      <alignment horizontal="center"/>
    </xf>
    <xf numFmtId="0" fontId="4" fillId="12" borderId="2" xfId="0" applyFont="1" applyFill="1" applyBorder="1" applyAlignment="1">
      <alignment horizontal="center" vertical="center" wrapText="1"/>
    </xf>
    <xf numFmtId="0" fontId="4" fillId="12" borderId="3" xfId="0" applyFont="1" applyFill="1" applyBorder="1" applyAlignment="1">
      <alignment horizontal="center" vertical="center" wrapText="1"/>
    </xf>
    <xf numFmtId="172" fontId="4" fillId="12" borderId="1" xfId="0" applyNumberFormat="1" applyFont="1" applyFill="1" applyBorder="1"/>
    <xf numFmtId="172" fontId="4" fillId="12" borderId="2" xfId="0" applyNumberFormat="1" applyFont="1" applyFill="1" applyBorder="1"/>
    <xf numFmtId="172" fontId="4" fillId="12" borderId="3" xfId="0" applyNumberFormat="1" applyFont="1" applyFill="1" applyBorder="1"/>
    <xf numFmtId="0" fontId="4" fillId="0" borderId="25" xfId="0" applyFont="1" applyBorder="1"/>
    <xf numFmtId="165" fontId="11" fillId="0" borderId="25" xfId="2" applyNumberFormat="1" applyFont="1" applyFill="1" applyBorder="1"/>
    <xf numFmtId="165" fontId="4" fillId="0" borderId="25" xfId="2" applyNumberFormat="1" applyFont="1" applyFill="1" applyBorder="1"/>
    <xf numFmtId="172" fontId="11" fillId="0" borderId="0" xfId="2" applyNumberFormat="1" applyFont="1" applyFill="1" applyBorder="1"/>
    <xf numFmtId="172" fontId="4" fillId="0" borderId="0" xfId="2" applyNumberFormat="1" applyFont="1" applyFill="1" applyBorder="1"/>
    <xf numFmtId="173" fontId="4" fillId="0" borderId="0" xfId="0" applyNumberFormat="1" applyFont="1" applyFill="1" applyBorder="1"/>
    <xf numFmtId="165" fontId="4" fillId="0" borderId="0" xfId="0" applyNumberFormat="1" applyFont="1" applyFill="1" applyBorder="1"/>
    <xf numFmtId="171" fontId="4" fillId="0" borderId="0" xfId="3" applyNumberFormat="1" applyFont="1" applyFill="1" applyBorder="1"/>
    <xf numFmtId="171" fontId="17" fillId="0" borderId="0" xfId="3" applyNumberFormat="1" applyFont="1" applyFill="1"/>
    <xf numFmtId="0" fontId="6" fillId="0" borderId="0" xfId="0" applyFont="1" applyFill="1" applyBorder="1" applyAlignment="1">
      <alignment horizontal="center"/>
    </xf>
    <xf numFmtId="172" fontId="4" fillId="0" borderId="0" xfId="0" applyNumberFormat="1" applyFont="1" applyFill="1" applyBorder="1"/>
    <xf numFmtId="164" fontId="11" fillId="11" borderId="23" xfId="0" applyNumberFormat="1" applyFont="1" applyFill="1" applyBorder="1" applyAlignment="1">
      <alignment horizontal="right" vertical="center" wrapText="1"/>
    </xf>
    <xf numFmtId="164" fontId="4" fillId="11" borderId="23" xfId="0" applyNumberFormat="1" applyFont="1" applyFill="1" applyBorder="1"/>
    <xf numFmtId="164" fontId="4" fillId="11" borderId="24" xfId="0" applyNumberFormat="1" applyFont="1" applyFill="1" applyBorder="1"/>
    <xf numFmtId="164" fontId="4" fillId="11" borderId="24" xfId="0" applyNumberFormat="1" applyFont="1" applyFill="1" applyBorder="1" applyAlignment="1">
      <alignment vertical="center"/>
    </xf>
    <xf numFmtId="170" fontId="4" fillId="11" borderId="24" xfId="0" applyNumberFormat="1" applyFont="1" applyFill="1" applyBorder="1"/>
    <xf numFmtId="0" fontId="6" fillId="14" borderId="16" xfId="0" applyFont="1" applyFill="1" applyBorder="1" applyAlignment="1">
      <alignment vertical="center" wrapText="1"/>
    </xf>
    <xf numFmtId="0" fontId="4" fillId="14" borderId="17" xfId="0" applyFont="1" applyFill="1" applyBorder="1"/>
    <xf numFmtId="0" fontId="4" fillId="14" borderId="18" xfId="0" applyFont="1" applyFill="1" applyBorder="1"/>
    <xf numFmtId="0" fontId="4" fillId="15" borderId="2" xfId="0" applyFont="1" applyFill="1" applyBorder="1"/>
    <xf numFmtId="0" fontId="4" fillId="15" borderId="3" xfId="0" applyFont="1" applyFill="1" applyBorder="1"/>
    <xf numFmtId="0" fontId="4" fillId="0" borderId="23" xfId="0" applyFont="1" applyBorder="1"/>
    <xf numFmtId="0" fontId="4" fillId="0" borderId="24" xfId="0" applyFont="1" applyBorder="1"/>
    <xf numFmtId="0" fontId="4" fillId="16" borderId="1" xfId="0" applyFont="1" applyFill="1" applyBorder="1"/>
    <xf numFmtId="0" fontId="4" fillId="16" borderId="17" xfId="0" applyFont="1" applyFill="1" applyBorder="1"/>
    <xf numFmtId="0" fontId="4" fillId="16" borderId="18" xfId="0" applyFont="1" applyFill="1" applyBorder="1"/>
    <xf numFmtId="164" fontId="4" fillId="0" borderId="23" xfId="0" applyNumberFormat="1" applyFont="1" applyFill="1" applyBorder="1" applyAlignment="1">
      <alignment horizontal="right" vertical="center" wrapText="1"/>
    </xf>
    <xf numFmtId="164" fontId="4" fillId="0" borderId="24" xfId="0" applyNumberFormat="1" applyFont="1" applyFill="1" applyBorder="1" applyAlignment="1">
      <alignment horizontal="right" vertical="center" wrapText="1"/>
    </xf>
    <xf numFmtId="164" fontId="4" fillId="11" borderId="23" xfId="0" applyNumberFormat="1" applyFont="1" applyFill="1" applyBorder="1" applyAlignment="1">
      <alignment horizontal="right" vertical="center" wrapText="1"/>
    </xf>
    <xf numFmtId="174" fontId="11" fillId="0" borderId="23" xfId="2" applyNumberFormat="1" applyFont="1" applyFill="1" applyBorder="1"/>
    <xf numFmtId="174" fontId="11" fillId="0" borderId="24" xfId="2" applyNumberFormat="1" applyFont="1" applyFill="1" applyBorder="1"/>
    <xf numFmtId="174" fontId="4" fillId="0" borderId="23" xfId="2" applyNumberFormat="1" applyFont="1" applyBorder="1"/>
    <xf numFmtId="174" fontId="4" fillId="0" borderId="24" xfId="2" applyNumberFormat="1" applyFont="1" applyBorder="1"/>
    <xf numFmtId="174" fontId="4" fillId="0" borderId="24" xfId="2" applyNumberFormat="1" applyFont="1" applyBorder="1" applyAlignment="1">
      <alignment vertical="center"/>
    </xf>
    <xf numFmtId="174" fontId="4" fillId="0" borderId="23" xfId="2" applyNumberFormat="1" applyFont="1" applyFill="1" applyBorder="1"/>
    <xf numFmtId="174" fontId="4" fillId="0" borderId="24" xfId="2" applyNumberFormat="1" applyFont="1" applyFill="1" applyBorder="1"/>
    <xf numFmtId="175" fontId="4" fillId="0" borderId="23" xfId="0" applyNumberFormat="1" applyFont="1" applyFill="1" applyBorder="1"/>
    <xf numFmtId="170" fontId="4" fillId="0" borderId="23" xfId="0" applyNumberFormat="1" applyFont="1" applyBorder="1"/>
    <xf numFmtId="175" fontId="4" fillId="0" borderId="24" xfId="0" applyNumberFormat="1" applyFont="1" applyFill="1" applyBorder="1"/>
    <xf numFmtId="170" fontId="4" fillId="0" borderId="24" xfId="0" applyNumberFormat="1" applyFont="1" applyBorder="1"/>
    <xf numFmtId="172" fontId="4" fillId="15" borderId="1" xfId="0" applyNumberFormat="1" applyFont="1" applyFill="1" applyBorder="1"/>
    <xf numFmtId="172" fontId="4" fillId="15" borderId="2" xfId="0" applyNumberFormat="1" applyFont="1" applyFill="1" applyBorder="1"/>
    <xf numFmtId="172" fontId="4" fillId="15" borderId="3" xfId="0" applyNumberFormat="1" applyFont="1" applyFill="1" applyBorder="1"/>
    <xf numFmtId="173" fontId="4" fillId="15" borderId="1" xfId="0" applyNumberFormat="1" applyFont="1" applyFill="1" applyBorder="1"/>
    <xf numFmtId="173" fontId="4" fillId="15" borderId="2" xfId="0" applyNumberFormat="1" applyFont="1" applyFill="1" applyBorder="1"/>
    <xf numFmtId="173" fontId="4" fillId="15" borderId="3" xfId="0" applyNumberFormat="1" applyFont="1" applyFill="1" applyBorder="1"/>
    <xf numFmtId="0" fontId="24" fillId="15" borderId="2" xfId="0" applyFont="1" applyFill="1" applyBorder="1" applyAlignment="1">
      <alignment horizontal="center"/>
    </xf>
    <xf numFmtId="170" fontId="4" fillId="11" borderId="23" xfId="0" applyNumberFormat="1" applyFont="1" applyFill="1" applyBorder="1"/>
    <xf numFmtId="0" fontId="4" fillId="0" borderId="0" xfId="0" applyFont="1" applyAlignment="1">
      <alignment horizontal="left"/>
    </xf>
    <xf numFmtId="0" fontId="6" fillId="12" borderId="17" xfId="0" applyFont="1" applyFill="1" applyBorder="1" applyAlignment="1">
      <alignment vertical="center" wrapText="1"/>
    </xf>
    <xf numFmtId="0" fontId="6" fillId="12" borderId="2" xfId="0" applyFont="1" applyFill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0" fontId="4" fillId="0" borderId="27" xfId="0" applyFont="1" applyBorder="1" applyAlignment="1">
      <alignment vertical="center" wrapText="1"/>
    </xf>
    <xf numFmtId="0" fontId="4" fillId="0" borderId="26" xfId="0" applyFont="1" applyFill="1" applyBorder="1" applyAlignment="1">
      <alignment vertical="center" wrapText="1"/>
    </xf>
    <xf numFmtId="0" fontId="4" fillId="0" borderId="27" xfId="0" applyFont="1" applyFill="1" applyBorder="1" applyAlignment="1">
      <alignment vertical="center" wrapText="1"/>
    </xf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7" xfId="0" applyFont="1" applyBorder="1" applyAlignment="1"/>
    <xf numFmtId="0" fontId="6" fillId="0" borderId="28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22" xfId="0" applyFont="1" applyBorder="1" applyAlignment="1">
      <alignment horizontal="left"/>
    </xf>
    <xf numFmtId="0" fontId="6" fillId="16" borderId="17" xfId="0" applyFont="1" applyFill="1" applyBorder="1" applyAlignment="1">
      <alignment vertical="center" wrapText="1"/>
    </xf>
    <xf numFmtId="0" fontId="6" fillId="15" borderId="2" xfId="0" applyFont="1" applyFill="1" applyBorder="1"/>
    <xf numFmtId="0" fontId="4" fillId="0" borderId="26" xfId="0" applyFont="1" applyBorder="1"/>
    <xf numFmtId="0" fontId="4" fillId="0" borderId="27" xfId="0" applyFont="1" applyBorder="1"/>
    <xf numFmtId="0" fontId="9" fillId="4" borderId="0" xfId="0" applyFont="1" applyFill="1" applyBorder="1" applyAlignment="1">
      <alignment horizontal="center" vertical="center"/>
    </xf>
    <xf numFmtId="176" fontId="4" fillId="0" borderId="0" xfId="0" applyNumberFormat="1" applyFont="1"/>
    <xf numFmtId="0" fontId="4" fillId="14" borderId="1" xfId="0" applyFont="1" applyFill="1" applyBorder="1"/>
    <xf numFmtId="177" fontId="4" fillId="0" borderId="24" xfId="0" applyNumberFormat="1" applyFont="1" applyBorder="1"/>
    <xf numFmtId="177" fontId="4" fillId="0" borderId="0" xfId="0" applyNumberFormat="1" applyFont="1" applyFill="1" applyBorder="1"/>
    <xf numFmtId="0" fontId="4" fillId="13" borderId="1" xfId="0" applyFont="1" applyFill="1" applyBorder="1"/>
    <xf numFmtId="0" fontId="4" fillId="13" borderId="2" xfId="0" applyFont="1" applyFill="1" applyBorder="1"/>
    <xf numFmtId="0" fontId="4" fillId="13" borderId="3" xfId="0" applyFont="1" applyFill="1" applyBorder="1"/>
    <xf numFmtId="178" fontId="4" fillId="0" borderId="23" xfId="0" applyNumberFormat="1" applyFont="1" applyBorder="1"/>
    <xf numFmtId="178" fontId="4" fillId="0" borderId="24" xfId="0" applyNumberFormat="1" applyFont="1" applyBorder="1"/>
    <xf numFmtId="172" fontId="4" fillId="13" borderId="2" xfId="0" applyNumberFormat="1" applyFont="1" applyFill="1" applyBorder="1"/>
    <xf numFmtId="172" fontId="4" fillId="13" borderId="3" xfId="0" applyNumberFormat="1" applyFont="1" applyFill="1" applyBorder="1"/>
    <xf numFmtId="0" fontId="6" fillId="0" borderId="14" xfId="0" applyFont="1" applyFill="1" applyBorder="1" applyAlignment="1">
      <alignment horizontal="left"/>
    </xf>
    <xf numFmtId="0" fontId="6" fillId="0" borderId="9" xfId="0" applyFont="1" applyBorder="1" applyAlignment="1">
      <alignment horizontal="left"/>
    </xf>
    <xf numFmtId="165" fontId="8" fillId="0" borderId="0" xfId="2" applyNumberFormat="1" applyFont="1" applyFill="1"/>
    <xf numFmtId="164" fontId="15" fillId="3" borderId="1" xfId="0" applyNumberFormat="1" applyFont="1" applyFill="1" applyBorder="1"/>
    <xf numFmtId="165" fontId="15" fillId="3" borderId="1" xfId="2" applyNumberFormat="1" applyFont="1" applyFill="1" applyBorder="1"/>
    <xf numFmtId="171" fontId="17" fillId="17" borderId="0" xfId="3" applyNumberFormat="1" applyFont="1" applyFill="1"/>
    <xf numFmtId="179" fontId="28" fillId="0" borderId="30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17" fillId="17" borderId="0" xfId="0" applyFont="1" applyFill="1"/>
    <xf numFmtId="43" fontId="17" fillId="17" borderId="0" xfId="0" applyNumberFormat="1" applyFont="1" applyFill="1"/>
    <xf numFmtId="0" fontId="4" fillId="0" borderId="1" xfId="0" applyFont="1" applyBorder="1" applyAlignment="1">
      <alignment horizontal="center"/>
    </xf>
    <xf numFmtId="10" fontId="4" fillId="0" borderId="3" xfId="0" applyNumberFormat="1" applyFont="1" applyBorder="1" applyAlignment="1">
      <alignment horizontal="center"/>
    </xf>
    <xf numFmtId="0" fontId="6" fillId="0" borderId="1" xfId="0" applyFont="1" applyBorder="1"/>
    <xf numFmtId="171" fontId="4" fillId="0" borderId="3" xfId="3" applyNumberFormat="1" applyFont="1" applyBorder="1"/>
    <xf numFmtId="0" fontId="6" fillId="0" borderId="1" xfId="0" applyFont="1" applyFill="1" applyBorder="1"/>
    <xf numFmtId="171" fontId="4" fillId="0" borderId="3" xfId="3" applyNumberFormat="1" applyFont="1" applyFill="1" applyBorder="1"/>
    <xf numFmtId="165" fontId="4" fillId="0" borderId="0" xfId="2" applyNumberFormat="1" applyFont="1" applyFill="1" applyBorder="1" applyAlignment="1">
      <alignment horizontal="center"/>
    </xf>
    <xf numFmtId="43" fontId="6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0" fontId="17" fillId="17" borderId="0" xfId="1" applyNumberFormat="1" applyFont="1" applyFill="1"/>
    <xf numFmtId="43" fontId="17" fillId="17" borderId="0" xfId="2" applyFont="1" applyFill="1"/>
    <xf numFmtId="0" fontId="29" fillId="0" borderId="0" xfId="0" applyFont="1"/>
    <xf numFmtId="9" fontId="17" fillId="17" borderId="0" xfId="1" applyFont="1" applyFill="1"/>
    <xf numFmtId="49" fontId="17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4" fillId="0" borderId="0" xfId="0" applyFont="1" applyAlignment="1"/>
    <xf numFmtId="0" fontId="4" fillId="0" borderId="13" xfId="0" applyFont="1" applyBorder="1" applyAlignment="1"/>
    <xf numFmtId="166" fontId="20" fillId="0" borderId="0" xfId="2" applyNumberFormat="1" applyFont="1" applyFill="1" applyBorder="1"/>
    <xf numFmtId="166" fontId="5" fillId="0" borderId="0" xfId="2" applyNumberFormat="1" applyFont="1" applyFill="1" applyBorder="1"/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5" fillId="0" borderId="0" xfId="0" applyFont="1" applyBorder="1"/>
    <xf numFmtId="0" fontId="28" fillId="5" borderId="0" xfId="0" applyFont="1" applyFill="1" applyBorder="1" applyAlignment="1">
      <alignment vertical="center"/>
    </xf>
    <xf numFmtId="0" fontId="31" fillId="5" borderId="0" xfId="0" applyFont="1" applyFill="1" applyBorder="1" applyAlignment="1">
      <alignment horizontal="right" vertical="center"/>
    </xf>
    <xf numFmtId="164" fontId="31" fillId="5" borderId="0" xfId="0" applyNumberFormat="1" applyFont="1" applyFill="1" applyBorder="1" applyAlignment="1">
      <alignment horizontal="right" vertical="center"/>
    </xf>
    <xf numFmtId="166" fontId="5" fillId="0" borderId="0" xfId="2" applyNumberFormat="1" applyFont="1" applyBorder="1"/>
    <xf numFmtId="0" fontId="5" fillId="0" borderId="19" xfId="0" applyFont="1" applyBorder="1"/>
    <xf numFmtId="0" fontId="5" fillId="0" borderId="20" xfId="0" applyFont="1" applyBorder="1"/>
    <xf numFmtId="0" fontId="23" fillId="0" borderId="20" xfId="0" applyFont="1" applyBorder="1"/>
    <xf numFmtId="0" fontId="5" fillId="0" borderId="21" xfId="0" applyFont="1" applyBorder="1"/>
    <xf numFmtId="0" fontId="5" fillId="0" borderId="32" xfId="0" applyFont="1" applyBorder="1"/>
    <xf numFmtId="165" fontId="8" fillId="0" borderId="0" xfId="2" applyNumberFormat="1" applyFont="1" applyFill="1" applyBorder="1"/>
    <xf numFmtId="0" fontId="5" fillId="0" borderId="31" xfId="0" applyFont="1" applyBorder="1"/>
    <xf numFmtId="0" fontId="23" fillId="0" borderId="0" xfId="0" applyFont="1" applyBorder="1"/>
    <xf numFmtId="0" fontId="4" fillId="0" borderId="0" xfId="0" applyFont="1" applyBorder="1" applyAlignment="1">
      <alignment horizontal="left"/>
    </xf>
    <xf numFmtId="165" fontId="4" fillId="0" borderId="0" xfId="2" applyNumberFormat="1" applyFont="1" applyBorder="1"/>
    <xf numFmtId="171" fontId="17" fillId="10" borderId="0" xfId="3" applyNumberFormat="1" applyFont="1" applyFill="1" applyBorder="1"/>
    <xf numFmtId="0" fontId="27" fillId="0" borderId="0" xfId="0" applyFont="1" applyFill="1" applyBorder="1" applyAlignment="1">
      <alignment horizontal="left"/>
    </xf>
    <xf numFmtId="171" fontId="17" fillId="0" borderId="0" xfId="3" applyNumberFormat="1" applyFont="1" applyFill="1" applyBorder="1"/>
    <xf numFmtId="0" fontId="5" fillId="5" borderId="0" xfId="0" applyFont="1" applyFill="1" applyBorder="1"/>
    <xf numFmtId="164" fontId="8" fillId="0" borderId="0" xfId="0" applyNumberFormat="1" applyFont="1" applyFill="1" applyBorder="1"/>
    <xf numFmtId="0" fontId="14" fillId="0" borderId="0" xfId="0" applyFont="1" applyFill="1" applyBorder="1"/>
    <xf numFmtId="165" fontId="5" fillId="0" borderId="0" xfId="0" applyNumberFormat="1" applyFont="1" applyBorder="1"/>
    <xf numFmtId="0" fontId="5" fillId="3" borderId="0" xfId="0" applyFont="1" applyFill="1" applyBorder="1"/>
    <xf numFmtId="167" fontId="5" fillId="8" borderId="0" xfId="2" applyNumberFormat="1" applyFont="1" applyFill="1" applyBorder="1" applyAlignment="1">
      <alignment horizontal="right"/>
    </xf>
    <xf numFmtId="0" fontId="5" fillId="0" borderId="33" xfId="0" applyFont="1" applyBorder="1"/>
    <xf numFmtId="0" fontId="5" fillId="0" borderId="12" xfId="0" applyFont="1" applyBorder="1"/>
    <xf numFmtId="0" fontId="5" fillId="0" borderId="34" xfId="0" applyFont="1" applyBorder="1"/>
    <xf numFmtId="0" fontId="5" fillId="17" borderId="0" xfId="0" applyFont="1" applyFill="1"/>
    <xf numFmtId="0" fontId="32" fillId="17" borderId="0" xfId="0" applyFont="1" applyFill="1"/>
    <xf numFmtId="0" fontId="23" fillId="17" borderId="0" xfId="0" applyFont="1" applyFill="1"/>
    <xf numFmtId="9" fontId="5" fillId="0" borderId="7" xfId="0" applyNumberFormat="1" applyFont="1" applyBorder="1"/>
    <xf numFmtId="0" fontId="5" fillId="3" borderId="0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center"/>
    </xf>
    <xf numFmtId="181" fontId="4" fillId="0" borderId="0" xfId="0" applyNumberFormat="1" applyFont="1"/>
    <xf numFmtId="164" fontId="4" fillId="11" borderId="24" xfId="0" applyNumberFormat="1" applyFont="1" applyFill="1" applyBorder="1" applyAlignment="1">
      <alignment horizontal="right" vertical="center" wrapText="1"/>
    </xf>
    <xf numFmtId="165" fontId="4" fillId="0" borderId="0" xfId="0" applyNumberFormat="1" applyFont="1" applyBorder="1"/>
    <xf numFmtId="0" fontId="2" fillId="0" borderId="0" xfId="0" applyFont="1"/>
    <xf numFmtId="0" fontId="35" fillId="0" borderId="35" xfId="0" applyFont="1" applyFill="1" applyBorder="1" applyAlignment="1">
      <alignment horizontal="center"/>
    </xf>
    <xf numFmtId="0" fontId="36" fillId="0" borderId="0" xfId="0" applyFont="1" applyBorder="1" applyAlignment="1">
      <alignment horizontal="left"/>
    </xf>
    <xf numFmtId="174" fontId="34" fillId="0" borderId="0" xfId="2" applyNumberFormat="1" applyFont="1"/>
    <xf numFmtId="0" fontId="35" fillId="0" borderId="0" xfId="0" applyFont="1" applyBorder="1" applyAlignment="1">
      <alignment horizontal="left"/>
    </xf>
    <xf numFmtId="174" fontId="2" fillId="0" borderId="0" xfId="2" applyNumberFormat="1" applyFont="1"/>
    <xf numFmtId="165" fontId="2" fillId="0" borderId="0" xfId="2" applyNumberFormat="1" applyFont="1"/>
    <xf numFmtId="0" fontId="35" fillId="0" borderId="12" xfId="0" applyFont="1" applyBorder="1" applyAlignment="1">
      <alignment horizontal="right"/>
    </xf>
    <xf numFmtId="180" fontId="2" fillId="0" borderId="12" xfId="0" applyNumberFormat="1" applyFont="1" applyBorder="1"/>
    <xf numFmtId="180" fontId="2" fillId="0" borderId="0" xfId="0" applyNumberFormat="1" applyFont="1" applyBorder="1"/>
    <xf numFmtId="0" fontId="5" fillId="17" borderId="12" xfId="0" applyFont="1" applyFill="1" applyBorder="1"/>
    <xf numFmtId="0" fontId="37" fillId="17" borderId="12" xfId="0" applyFont="1" applyFill="1" applyBorder="1"/>
    <xf numFmtId="0" fontId="2" fillId="0" borderId="0" xfId="0" applyFont="1" applyAlignment="1">
      <alignment horizontal="center"/>
    </xf>
    <xf numFmtId="177" fontId="4" fillId="0" borderId="29" xfId="0" applyNumberFormat="1" applyFont="1" applyFill="1" applyBorder="1"/>
    <xf numFmtId="9" fontId="4" fillId="0" borderId="0" xfId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2" xfId="0" applyFill="1" applyBorder="1" applyAlignment="1"/>
    <xf numFmtId="0" fontId="0" fillId="0" borderId="12" xfId="0" applyNumberFormat="1" applyFill="1" applyBorder="1" applyAlignment="1"/>
    <xf numFmtId="0" fontId="38" fillId="0" borderId="0" xfId="0" applyFont="1" applyFill="1" applyBorder="1" applyAlignment="1">
      <alignment horizontal="center"/>
    </xf>
    <xf numFmtId="0" fontId="1" fillId="0" borderId="0" xfId="0" applyFont="1"/>
    <xf numFmtId="180" fontId="1" fillId="0" borderId="0" xfId="0" applyNumberFormat="1" applyFont="1" applyBorder="1"/>
    <xf numFmtId="177" fontId="4" fillId="11" borderId="5" xfId="0" applyNumberFormat="1" applyFont="1" applyFill="1" applyBorder="1"/>
    <xf numFmtId="182" fontId="4" fillId="11" borderId="15" xfId="0" applyNumberFormat="1" applyFont="1" applyFill="1" applyBorder="1"/>
    <xf numFmtId="0" fontId="16" fillId="16" borderId="0" xfId="0" applyFont="1" applyFill="1" applyAlignment="1">
      <alignment horizontal="left"/>
    </xf>
    <xf numFmtId="0" fontId="14" fillId="12" borderId="2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6" borderId="2" xfId="0" applyFont="1" applyFill="1" applyBorder="1" applyAlignment="1">
      <alignment horizontal="center"/>
    </xf>
    <xf numFmtId="0" fontId="14" fillId="16" borderId="3" xfId="0" applyFont="1" applyFill="1" applyBorder="1" applyAlignment="1">
      <alignment horizontal="center"/>
    </xf>
    <xf numFmtId="0" fontId="27" fillId="10" borderId="0" xfId="0" applyFont="1" applyFill="1" applyAlignment="1">
      <alignment horizontal="left"/>
    </xf>
    <xf numFmtId="0" fontId="9" fillId="4" borderId="0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0" fillId="2" borderId="16" xfId="0" applyFont="1" applyFill="1" applyBorder="1" applyAlignment="1">
      <alignment horizontal="left" vertical="center" wrapText="1"/>
    </xf>
    <xf numFmtId="0" fontId="30" fillId="2" borderId="17" xfId="0" applyFont="1" applyFill="1" applyBorder="1" applyAlignment="1">
      <alignment horizontal="left" vertical="center" wrapText="1"/>
    </xf>
    <xf numFmtId="0" fontId="30" fillId="2" borderId="18" xfId="0" applyFont="1" applyFill="1" applyBorder="1" applyAlignment="1">
      <alignment horizontal="left" vertical="center" wrapText="1"/>
    </xf>
    <xf numFmtId="0" fontId="12" fillId="7" borderId="0" xfId="0" applyFont="1" applyFill="1" applyBorder="1" applyAlignment="1">
      <alignment horizontal="left" vertical="center" wrapText="1"/>
    </xf>
    <xf numFmtId="0" fontId="8" fillId="5" borderId="0" xfId="0" applyFont="1" applyFill="1" applyBorder="1" applyAlignment="1">
      <alignment vertical="center" wrapText="1"/>
    </xf>
    <xf numFmtId="0" fontId="15" fillId="3" borderId="1" xfId="0" applyFont="1" applyFill="1" applyBorder="1" applyAlignment="1">
      <alignment horizontal="left" vertical="center" wrapText="1"/>
    </xf>
    <xf numFmtId="0" fontId="15" fillId="3" borderId="2" xfId="0" applyFont="1" applyFill="1" applyBorder="1" applyAlignment="1">
      <alignment horizontal="left" vertical="center" wrapText="1"/>
    </xf>
    <xf numFmtId="0" fontId="15" fillId="3" borderId="3" xfId="0" applyFont="1" applyFill="1" applyBorder="1" applyAlignment="1">
      <alignment horizontal="left" vertical="center" wrapText="1"/>
    </xf>
    <xf numFmtId="0" fontId="15" fillId="3" borderId="1" xfId="0" applyFont="1" applyFill="1" applyBorder="1" applyAlignment="1">
      <alignment horizontal="left"/>
    </xf>
    <xf numFmtId="0" fontId="15" fillId="3" borderId="2" xfId="0" applyFont="1" applyFill="1" applyBorder="1" applyAlignment="1">
      <alignment horizontal="left"/>
    </xf>
    <xf numFmtId="0" fontId="15" fillId="3" borderId="3" xfId="0" applyFont="1" applyFill="1" applyBorder="1" applyAlignment="1">
      <alignment horizontal="left"/>
    </xf>
    <xf numFmtId="0" fontId="27" fillId="10" borderId="0" xfId="0" applyFont="1" applyFill="1" applyBorder="1" applyAlignment="1">
      <alignment horizontal="left"/>
    </xf>
    <xf numFmtId="0" fontId="33" fillId="5" borderId="12" xfId="0" applyFont="1" applyFill="1" applyBorder="1" applyAlignment="1">
      <alignment horizontal="center"/>
    </xf>
  </cellXfs>
  <cellStyles count="8">
    <cellStyle name="Millares" xfId="2" builtinId="3"/>
    <cellStyle name="Millares 2" xfId="5"/>
    <cellStyle name="Moneda" xfId="3" builtinId="4"/>
    <cellStyle name="Moneda 2" xfId="7"/>
    <cellStyle name="Normal" xfId="0" builtinId="0"/>
    <cellStyle name="Normal 2" xfId="4"/>
    <cellStyle name="Porcentaje" xfId="1" builtinId="5"/>
    <cellStyle name="Porcentaje 2" xfId="6"/>
  </cellStyles>
  <dxfs count="4"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9" defaultPivotStyle="PivotStyleMedium7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NPV (1000 ensayos)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Result!$J$6:$J$93</c:f>
              <c:strCache>
                <c:ptCount val="88"/>
                <c:pt idx="0">
                  <c:v>6400000</c:v>
                </c:pt>
                <c:pt idx="1">
                  <c:v>6500000</c:v>
                </c:pt>
                <c:pt idx="2">
                  <c:v>6600000</c:v>
                </c:pt>
                <c:pt idx="3">
                  <c:v>6700000</c:v>
                </c:pt>
                <c:pt idx="4">
                  <c:v>6800000</c:v>
                </c:pt>
                <c:pt idx="5">
                  <c:v>6900000</c:v>
                </c:pt>
                <c:pt idx="6">
                  <c:v>7000000</c:v>
                </c:pt>
                <c:pt idx="7">
                  <c:v>7100000</c:v>
                </c:pt>
                <c:pt idx="8">
                  <c:v>7200000</c:v>
                </c:pt>
                <c:pt idx="9">
                  <c:v>7300000</c:v>
                </c:pt>
                <c:pt idx="10">
                  <c:v>7400000</c:v>
                </c:pt>
                <c:pt idx="11">
                  <c:v>7500000</c:v>
                </c:pt>
                <c:pt idx="12">
                  <c:v>7600000</c:v>
                </c:pt>
                <c:pt idx="13">
                  <c:v>7700000</c:v>
                </c:pt>
                <c:pt idx="14">
                  <c:v>7800000</c:v>
                </c:pt>
                <c:pt idx="15">
                  <c:v>7900000</c:v>
                </c:pt>
                <c:pt idx="16">
                  <c:v>8000000</c:v>
                </c:pt>
                <c:pt idx="17">
                  <c:v>8100000</c:v>
                </c:pt>
                <c:pt idx="18">
                  <c:v>8200000</c:v>
                </c:pt>
                <c:pt idx="19">
                  <c:v>8300000</c:v>
                </c:pt>
                <c:pt idx="20">
                  <c:v>8400000</c:v>
                </c:pt>
                <c:pt idx="21">
                  <c:v>8500000</c:v>
                </c:pt>
                <c:pt idx="22">
                  <c:v>8600000</c:v>
                </c:pt>
                <c:pt idx="23">
                  <c:v>8700000</c:v>
                </c:pt>
                <c:pt idx="24">
                  <c:v>8800000</c:v>
                </c:pt>
                <c:pt idx="25">
                  <c:v>8900000</c:v>
                </c:pt>
                <c:pt idx="26">
                  <c:v>9000000</c:v>
                </c:pt>
                <c:pt idx="27">
                  <c:v>9100000</c:v>
                </c:pt>
                <c:pt idx="28">
                  <c:v>9200000</c:v>
                </c:pt>
                <c:pt idx="29">
                  <c:v>9300000</c:v>
                </c:pt>
                <c:pt idx="30">
                  <c:v>9400000</c:v>
                </c:pt>
                <c:pt idx="31">
                  <c:v>9500000</c:v>
                </c:pt>
                <c:pt idx="32">
                  <c:v>9600000</c:v>
                </c:pt>
                <c:pt idx="33">
                  <c:v>9700000</c:v>
                </c:pt>
                <c:pt idx="34">
                  <c:v>9800000</c:v>
                </c:pt>
                <c:pt idx="35">
                  <c:v>9900000</c:v>
                </c:pt>
                <c:pt idx="36">
                  <c:v>10000000</c:v>
                </c:pt>
                <c:pt idx="37">
                  <c:v>10100000</c:v>
                </c:pt>
                <c:pt idx="38">
                  <c:v>10200000</c:v>
                </c:pt>
                <c:pt idx="39">
                  <c:v>10300000</c:v>
                </c:pt>
                <c:pt idx="40">
                  <c:v>10400000</c:v>
                </c:pt>
                <c:pt idx="41">
                  <c:v>10500000</c:v>
                </c:pt>
                <c:pt idx="42">
                  <c:v>10600000</c:v>
                </c:pt>
                <c:pt idx="43">
                  <c:v>10700000</c:v>
                </c:pt>
                <c:pt idx="44">
                  <c:v>10800000</c:v>
                </c:pt>
                <c:pt idx="45">
                  <c:v>10900000</c:v>
                </c:pt>
                <c:pt idx="46">
                  <c:v>11000000</c:v>
                </c:pt>
                <c:pt idx="47">
                  <c:v>11100000</c:v>
                </c:pt>
                <c:pt idx="48">
                  <c:v>11200000</c:v>
                </c:pt>
                <c:pt idx="49">
                  <c:v>11300000</c:v>
                </c:pt>
                <c:pt idx="50">
                  <c:v>11400000</c:v>
                </c:pt>
                <c:pt idx="51">
                  <c:v>11500000</c:v>
                </c:pt>
                <c:pt idx="52">
                  <c:v>11600000</c:v>
                </c:pt>
                <c:pt idx="53">
                  <c:v>11700000</c:v>
                </c:pt>
                <c:pt idx="54">
                  <c:v>11800000</c:v>
                </c:pt>
                <c:pt idx="55">
                  <c:v>11900000</c:v>
                </c:pt>
                <c:pt idx="56">
                  <c:v>12000000</c:v>
                </c:pt>
                <c:pt idx="57">
                  <c:v>12100000</c:v>
                </c:pt>
                <c:pt idx="58">
                  <c:v>12200000</c:v>
                </c:pt>
                <c:pt idx="59">
                  <c:v>12300000</c:v>
                </c:pt>
                <c:pt idx="60">
                  <c:v>12400000</c:v>
                </c:pt>
                <c:pt idx="61">
                  <c:v>12500000</c:v>
                </c:pt>
                <c:pt idx="62">
                  <c:v>12600000</c:v>
                </c:pt>
                <c:pt idx="63">
                  <c:v>12700000</c:v>
                </c:pt>
                <c:pt idx="64">
                  <c:v>12800000</c:v>
                </c:pt>
                <c:pt idx="65">
                  <c:v>12900000</c:v>
                </c:pt>
                <c:pt idx="66">
                  <c:v>13000000</c:v>
                </c:pt>
                <c:pt idx="67">
                  <c:v>13100000</c:v>
                </c:pt>
                <c:pt idx="68">
                  <c:v>13200000</c:v>
                </c:pt>
                <c:pt idx="69">
                  <c:v>13300000</c:v>
                </c:pt>
                <c:pt idx="70">
                  <c:v>13400000</c:v>
                </c:pt>
                <c:pt idx="71">
                  <c:v>13500000</c:v>
                </c:pt>
                <c:pt idx="72">
                  <c:v>13600000</c:v>
                </c:pt>
                <c:pt idx="73">
                  <c:v>13700000</c:v>
                </c:pt>
                <c:pt idx="74">
                  <c:v>13800000</c:v>
                </c:pt>
                <c:pt idx="75">
                  <c:v>13900000</c:v>
                </c:pt>
                <c:pt idx="76">
                  <c:v>14000000</c:v>
                </c:pt>
                <c:pt idx="77">
                  <c:v>14100000</c:v>
                </c:pt>
                <c:pt idx="78">
                  <c:v>14200000</c:v>
                </c:pt>
                <c:pt idx="79">
                  <c:v>14300000</c:v>
                </c:pt>
                <c:pt idx="80">
                  <c:v>14400000</c:v>
                </c:pt>
                <c:pt idx="81">
                  <c:v>14500000</c:v>
                </c:pt>
                <c:pt idx="82">
                  <c:v>14600000</c:v>
                </c:pt>
                <c:pt idx="83">
                  <c:v>14700000</c:v>
                </c:pt>
                <c:pt idx="84">
                  <c:v>14800000</c:v>
                </c:pt>
                <c:pt idx="85">
                  <c:v>14900000</c:v>
                </c:pt>
                <c:pt idx="86">
                  <c:v>15000000</c:v>
                </c:pt>
                <c:pt idx="87">
                  <c:v>y mayor...</c:v>
                </c:pt>
              </c:strCache>
            </c:strRef>
          </c:cat>
          <c:val>
            <c:numRef>
              <c:f>Result!$K$6:$K$93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2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7</c:v>
                </c:pt>
                <c:pt idx="24">
                  <c:v>17</c:v>
                </c:pt>
                <c:pt idx="25">
                  <c:v>10</c:v>
                </c:pt>
                <c:pt idx="26">
                  <c:v>9</c:v>
                </c:pt>
                <c:pt idx="27">
                  <c:v>16</c:v>
                </c:pt>
                <c:pt idx="28">
                  <c:v>16</c:v>
                </c:pt>
                <c:pt idx="29">
                  <c:v>15</c:v>
                </c:pt>
                <c:pt idx="30">
                  <c:v>15</c:v>
                </c:pt>
                <c:pt idx="31">
                  <c:v>11</c:v>
                </c:pt>
                <c:pt idx="32">
                  <c:v>18</c:v>
                </c:pt>
                <c:pt idx="33">
                  <c:v>12</c:v>
                </c:pt>
                <c:pt idx="34">
                  <c:v>14</c:v>
                </c:pt>
                <c:pt idx="35">
                  <c:v>16</c:v>
                </c:pt>
                <c:pt idx="36">
                  <c:v>23</c:v>
                </c:pt>
                <c:pt idx="37">
                  <c:v>14</c:v>
                </c:pt>
                <c:pt idx="38">
                  <c:v>25</c:v>
                </c:pt>
                <c:pt idx="39">
                  <c:v>28</c:v>
                </c:pt>
                <c:pt idx="40">
                  <c:v>23</c:v>
                </c:pt>
                <c:pt idx="41">
                  <c:v>18</c:v>
                </c:pt>
                <c:pt idx="42">
                  <c:v>23</c:v>
                </c:pt>
                <c:pt idx="43">
                  <c:v>25</c:v>
                </c:pt>
                <c:pt idx="44">
                  <c:v>36</c:v>
                </c:pt>
                <c:pt idx="45">
                  <c:v>28</c:v>
                </c:pt>
                <c:pt idx="46">
                  <c:v>24</c:v>
                </c:pt>
                <c:pt idx="47">
                  <c:v>27</c:v>
                </c:pt>
                <c:pt idx="48">
                  <c:v>26</c:v>
                </c:pt>
                <c:pt idx="49">
                  <c:v>20</c:v>
                </c:pt>
                <c:pt idx="50">
                  <c:v>23</c:v>
                </c:pt>
                <c:pt idx="51">
                  <c:v>31</c:v>
                </c:pt>
                <c:pt idx="52">
                  <c:v>19</c:v>
                </c:pt>
                <c:pt idx="53">
                  <c:v>33</c:v>
                </c:pt>
                <c:pt idx="54">
                  <c:v>26</c:v>
                </c:pt>
                <c:pt idx="55">
                  <c:v>25</c:v>
                </c:pt>
                <c:pt idx="56">
                  <c:v>15</c:v>
                </c:pt>
                <c:pt idx="57">
                  <c:v>21</c:v>
                </c:pt>
                <c:pt idx="58">
                  <c:v>16</c:v>
                </c:pt>
                <c:pt idx="59">
                  <c:v>25</c:v>
                </c:pt>
                <c:pt idx="60">
                  <c:v>8</c:v>
                </c:pt>
                <c:pt idx="61">
                  <c:v>13</c:v>
                </c:pt>
                <c:pt idx="62">
                  <c:v>17</c:v>
                </c:pt>
                <c:pt idx="63">
                  <c:v>11</c:v>
                </c:pt>
                <c:pt idx="64">
                  <c:v>10</c:v>
                </c:pt>
                <c:pt idx="65">
                  <c:v>11</c:v>
                </c:pt>
                <c:pt idx="66">
                  <c:v>16</c:v>
                </c:pt>
                <c:pt idx="67">
                  <c:v>10</c:v>
                </c:pt>
                <c:pt idx="68">
                  <c:v>16</c:v>
                </c:pt>
                <c:pt idx="69">
                  <c:v>13</c:v>
                </c:pt>
                <c:pt idx="70">
                  <c:v>6</c:v>
                </c:pt>
                <c:pt idx="71">
                  <c:v>8</c:v>
                </c:pt>
                <c:pt idx="72">
                  <c:v>9</c:v>
                </c:pt>
                <c:pt idx="73">
                  <c:v>8</c:v>
                </c:pt>
                <c:pt idx="74">
                  <c:v>5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3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38926336"/>
        <c:axId val="139001856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Result!$J$6:$J$93</c:f>
              <c:strCache>
                <c:ptCount val="88"/>
                <c:pt idx="0">
                  <c:v>6400000</c:v>
                </c:pt>
                <c:pt idx="1">
                  <c:v>6500000</c:v>
                </c:pt>
                <c:pt idx="2">
                  <c:v>6600000</c:v>
                </c:pt>
                <c:pt idx="3">
                  <c:v>6700000</c:v>
                </c:pt>
                <c:pt idx="4">
                  <c:v>6800000</c:v>
                </c:pt>
                <c:pt idx="5">
                  <c:v>6900000</c:v>
                </c:pt>
                <c:pt idx="6">
                  <c:v>7000000</c:v>
                </c:pt>
                <c:pt idx="7">
                  <c:v>7100000</c:v>
                </c:pt>
                <c:pt idx="8">
                  <c:v>7200000</c:v>
                </c:pt>
                <c:pt idx="9">
                  <c:v>7300000</c:v>
                </c:pt>
                <c:pt idx="10">
                  <c:v>7400000</c:v>
                </c:pt>
                <c:pt idx="11">
                  <c:v>7500000</c:v>
                </c:pt>
                <c:pt idx="12">
                  <c:v>7600000</c:v>
                </c:pt>
                <c:pt idx="13">
                  <c:v>7700000</c:v>
                </c:pt>
                <c:pt idx="14">
                  <c:v>7800000</c:v>
                </c:pt>
                <c:pt idx="15">
                  <c:v>7900000</c:v>
                </c:pt>
                <c:pt idx="16">
                  <c:v>8000000</c:v>
                </c:pt>
                <c:pt idx="17">
                  <c:v>8100000</c:v>
                </c:pt>
                <c:pt idx="18">
                  <c:v>8200000</c:v>
                </c:pt>
                <c:pt idx="19">
                  <c:v>8300000</c:v>
                </c:pt>
                <c:pt idx="20">
                  <c:v>8400000</c:v>
                </c:pt>
                <c:pt idx="21">
                  <c:v>8500000</c:v>
                </c:pt>
                <c:pt idx="22">
                  <c:v>8600000</c:v>
                </c:pt>
                <c:pt idx="23">
                  <c:v>8700000</c:v>
                </c:pt>
                <c:pt idx="24">
                  <c:v>8800000</c:v>
                </c:pt>
                <c:pt idx="25">
                  <c:v>8900000</c:v>
                </c:pt>
                <c:pt idx="26">
                  <c:v>9000000</c:v>
                </c:pt>
                <c:pt idx="27">
                  <c:v>9100000</c:v>
                </c:pt>
                <c:pt idx="28">
                  <c:v>9200000</c:v>
                </c:pt>
                <c:pt idx="29">
                  <c:v>9300000</c:v>
                </c:pt>
                <c:pt idx="30">
                  <c:v>9400000</c:v>
                </c:pt>
                <c:pt idx="31">
                  <c:v>9500000</c:v>
                </c:pt>
                <c:pt idx="32">
                  <c:v>9600000</c:v>
                </c:pt>
                <c:pt idx="33">
                  <c:v>9700000</c:v>
                </c:pt>
                <c:pt idx="34">
                  <c:v>9800000</c:v>
                </c:pt>
                <c:pt idx="35">
                  <c:v>9900000</c:v>
                </c:pt>
                <c:pt idx="36">
                  <c:v>10000000</c:v>
                </c:pt>
                <c:pt idx="37">
                  <c:v>10100000</c:v>
                </c:pt>
                <c:pt idx="38">
                  <c:v>10200000</c:v>
                </c:pt>
                <c:pt idx="39">
                  <c:v>10300000</c:v>
                </c:pt>
                <c:pt idx="40">
                  <c:v>10400000</c:v>
                </c:pt>
                <c:pt idx="41">
                  <c:v>10500000</c:v>
                </c:pt>
                <c:pt idx="42">
                  <c:v>10600000</c:v>
                </c:pt>
                <c:pt idx="43">
                  <c:v>10700000</c:v>
                </c:pt>
                <c:pt idx="44">
                  <c:v>10800000</c:v>
                </c:pt>
                <c:pt idx="45">
                  <c:v>10900000</c:v>
                </c:pt>
                <c:pt idx="46">
                  <c:v>11000000</c:v>
                </c:pt>
                <c:pt idx="47">
                  <c:v>11100000</c:v>
                </c:pt>
                <c:pt idx="48">
                  <c:v>11200000</c:v>
                </c:pt>
                <c:pt idx="49">
                  <c:v>11300000</c:v>
                </c:pt>
                <c:pt idx="50">
                  <c:v>11400000</c:v>
                </c:pt>
                <c:pt idx="51">
                  <c:v>11500000</c:v>
                </c:pt>
                <c:pt idx="52">
                  <c:v>11600000</c:v>
                </c:pt>
                <c:pt idx="53">
                  <c:v>11700000</c:v>
                </c:pt>
                <c:pt idx="54">
                  <c:v>11800000</c:v>
                </c:pt>
                <c:pt idx="55">
                  <c:v>11900000</c:v>
                </c:pt>
                <c:pt idx="56">
                  <c:v>12000000</c:v>
                </c:pt>
                <c:pt idx="57">
                  <c:v>12100000</c:v>
                </c:pt>
                <c:pt idx="58">
                  <c:v>12200000</c:v>
                </c:pt>
                <c:pt idx="59">
                  <c:v>12300000</c:v>
                </c:pt>
                <c:pt idx="60">
                  <c:v>12400000</c:v>
                </c:pt>
                <c:pt idx="61">
                  <c:v>12500000</c:v>
                </c:pt>
                <c:pt idx="62">
                  <c:v>12600000</c:v>
                </c:pt>
                <c:pt idx="63">
                  <c:v>12700000</c:v>
                </c:pt>
                <c:pt idx="64">
                  <c:v>12800000</c:v>
                </c:pt>
                <c:pt idx="65">
                  <c:v>12900000</c:v>
                </c:pt>
                <c:pt idx="66">
                  <c:v>13000000</c:v>
                </c:pt>
                <c:pt idx="67">
                  <c:v>13100000</c:v>
                </c:pt>
                <c:pt idx="68">
                  <c:v>13200000</c:v>
                </c:pt>
                <c:pt idx="69">
                  <c:v>13300000</c:v>
                </c:pt>
                <c:pt idx="70">
                  <c:v>13400000</c:v>
                </c:pt>
                <c:pt idx="71">
                  <c:v>13500000</c:v>
                </c:pt>
                <c:pt idx="72">
                  <c:v>13600000</c:v>
                </c:pt>
                <c:pt idx="73">
                  <c:v>13700000</c:v>
                </c:pt>
                <c:pt idx="74">
                  <c:v>13800000</c:v>
                </c:pt>
                <c:pt idx="75">
                  <c:v>13900000</c:v>
                </c:pt>
                <c:pt idx="76">
                  <c:v>14000000</c:v>
                </c:pt>
                <c:pt idx="77">
                  <c:v>14100000</c:v>
                </c:pt>
                <c:pt idx="78">
                  <c:v>14200000</c:v>
                </c:pt>
                <c:pt idx="79">
                  <c:v>14300000</c:v>
                </c:pt>
                <c:pt idx="80">
                  <c:v>14400000</c:v>
                </c:pt>
                <c:pt idx="81">
                  <c:v>14500000</c:v>
                </c:pt>
                <c:pt idx="82">
                  <c:v>14600000</c:v>
                </c:pt>
                <c:pt idx="83">
                  <c:v>14700000</c:v>
                </c:pt>
                <c:pt idx="84">
                  <c:v>14800000</c:v>
                </c:pt>
                <c:pt idx="85">
                  <c:v>14900000</c:v>
                </c:pt>
                <c:pt idx="86">
                  <c:v>15000000</c:v>
                </c:pt>
                <c:pt idx="87">
                  <c:v>y mayor...</c:v>
                </c:pt>
              </c:strCache>
            </c:strRef>
          </c:cat>
          <c:val>
            <c:numRef>
              <c:f>Result!$L$6:$L$93</c:f>
              <c:numCache>
                <c:formatCode>0.00%</c:formatCode>
                <c:ptCount val="88"/>
                <c:pt idx="0">
                  <c:v>0</c:v>
                </c:pt>
                <c:pt idx="1">
                  <c:v>9.99000999000999E-4</c:v>
                </c:pt>
                <c:pt idx="2">
                  <c:v>1.998001998001998E-3</c:v>
                </c:pt>
                <c:pt idx="3">
                  <c:v>1.998001998001998E-3</c:v>
                </c:pt>
                <c:pt idx="4">
                  <c:v>2.997002997002997E-3</c:v>
                </c:pt>
                <c:pt idx="5">
                  <c:v>4.995004995004995E-3</c:v>
                </c:pt>
                <c:pt idx="6">
                  <c:v>4.995004995004995E-3</c:v>
                </c:pt>
                <c:pt idx="7">
                  <c:v>5.994005994005994E-3</c:v>
                </c:pt>
                <c:pt idx="8">
                  <c:v>5.994005994005994E-3</c:v>
                </c:pt>
                <c:pt idx="9">
                  <c:v>5.994005994005994E-3</c:v>
                </c:pt>
                <c:pt idx="10">
                  <c:v>5.994005994005994E-3</c:v>
                </c:pt>
                <c:pt idx="11">
                  <c:v>9.99000999000999E-3</c:v>
                </c:pt>
                <c:pt idx="12">
                  <c:v>9.99000999000999E-3</c:v>
                </c:pt>
                <c:pt idx="13">
                  <c:v>1.0989010989010988E-2</c:v>
                </c:pt>
                <c:pt idx="14">
                  <c:v>1.4985014985014984E-2</c:v>
                </c:pt>
                <c:pt idx="15">
                  <c:v>2.1978021978021976E-2</c:v>
                </c:pt>
                <c:pt idx="16">
                  <c:v>2.9970029970029968E-2</c:v>
                </c:pt>
                <c:pt idx="17">
                  <c:v>3.5964035964035961E-2</c:v>
                </c:pt>
                <c:pt idx="18">
                  <c:v>3.796203796203796E-2</c:v>
                </c:pt>
                <c:pt idx="19">
                  <c:v>4.4955044955044952E-2</c:v>
                </c:pt>
                <c:pt idx="20">
                  <c:v>5.2947052947052944E-2</c:v>
                </c:pt>
                <c:pt idx="21">
                  <c:v>6.1938061938061936E-2</c:v>
                </c:pt>
                <c:pt idx="22">
                  <c:v>7.0929070929070928E-2</c:v>
                </c:pt>
                <c:pt idx="23">
                  <c:v>7.792207792207792E-2</c:v>
                </c:pt>
                <c:pt idx="24">
                  <c:v>9.4905094905094911E-2</c:v>
                </c:pt>
                <c:pt idx="25">
                  <c:v>0.1048951048951049</c:v>
                </c:pt>
                <c:pt idx="26">
                  <c:v>0.11388611388611389</c:v>
                </c:pt>
                <c:pt idx="27">
                  <c:v>0.12987012987012986</c:v>
                </c:pt>
                <c:pt idx="28">
                  <c:v>0.14585414585414586</c:v>
                </c:pt>
                <c:pt idx="29">
                  <c:v>0.16083916083916083</c:v>
                </c:pt>
                <c:pt idx="30">
                  <c:v>0.17582417582417581</c:v>
                </c:pt>
                <c:pt idx="31">
                  <c:v>0.18681318681318679</c:v>
                </c:pt>
                <c:pt idx="32">
                  <c:v>0.20479520479520477</c:v>
                </c:pt>
                <c:pt idx="33">
                  <c:v>0.21678321678321677</c:v>
                </c:pt>
                <c:pt idx="34">
                  <c:v>0.23076923076923075</c:v>
                </c:pt>
                <c:pt idx="35">
                  <c:v>0.24675324675324672</c:v>
                </c:pt>
                <c:pt idx="36">
                  <c:v>0.2697302697302697</c:v>
                </c:pt>
                <c:pt idx="37">
                  <c:v>0.28371628371628371</c:v>
                </c:pt>
                <c:pt idx="38">
                  <c:v>0.30869130869130867</c:v>
                </c:pt>
                <c:pt idx="39">
                  <c:v>0.33666333666333664</c:v>
                </c:pt>
                <c:pt idx="40">
                  <c:v>0.35964035964035962</c:v>
                </c:pt>
                <c:pt idx="41">
                  <c:v>0.3776223776223776</c:v>
                </c:pt>
                <c:pt idx="42">
                  <c:v>0.40059940059940058</c:v>
                </c:pt>
                <c:pt idx="43">
                  <c:v>0.42557442557442554</c:v>
                </c:pt>
                <c:pt idx="44">
                  <c:v>0.46153846153846151</c:v>
                </c:pt>
                <c:pt idx="45">
                  <c:v>0.48951048951048948</c:v>
                </c:pt>
                <c:pt idx="46">
                  <c:v>0.51348651348651342</c:v>
                </c:pt>
                <c:pt idx="47">
                  <c:v>0.54045954045954037</c:v>
                </c:pt>
                <c:pt idx="48">
                  <c:v>0.56643356643356635</c:v>
                </c:pt>
                <c:pt idx="49">
                  <c:v>0.58641358641358632</c:v>
                </c:pt>
                <c:pt idx="50">
                  <c:v>0.60939060939060929</c:v>
                </c:pt>
                <c:pt idx="51">
                  <c:v>0.64035964035964021</c:v>
                </c:pt>
                <c:pt idx="52">
                  <c:v>0.65934065934065922</c:v>
                </c:pt>
                <c:pt idx="53">
                  <c:v>0.69230769230769218</c:v>
                </c:pt>
                <c:pt idx="54">
                  <c:v>0.71828171828171816</c:v>
                </c:pt>
                <c:pt idx="55">
                  <c:v>0.74325674325674318</c:v>
                </c:pt>
                <c:pt idx="56">
                  <c:v>0.75824175824175821</c:v>
                </c:pt>
                <c:pt idx="57">
                  <c:v>0.77922077922077915</c:v>
                </c:pt>
                <c:pt idx="58">
                  <c:v>0.79520479520479515</c:v>
                </c:pt>
                <c:pt idx="59">
                  <c:v>0.82017982017982016</c:v>
                </c:pt>
                <c:pt idx="60">
                  <c:v>0.82817182817182811</c:v>
                </c:pt>
                <c:pt idx="61">
                  <c:v>0.8411588411588411</c:v>
                </c:pt>
                <c:pt idx="62">
                  <c:v>0.85814185814185806</c:v>
                </c:pt>
                <c:pt idx="63">
                  <c:v>0.86913086913086901</c:v>
                </c:pt>
                <c:pt idx="64">
                  <c:v>0.879120879120879</c:v>
                </c:pt>
                <c:pt idx="65">
                  <c:v>0.89010989010988995</c:v>
                </c:pt>
                <c:pt idx="66">
                  <c:v>0.90609390609390594</c:v>
                </c:pt>
                <c:pt idx="67">
                  <c:v>0.91608391608391593</c:v>
                </c:pt>
                <c:pt idx="68">
                  <c:v>0.93206793206793193</c:v>
                </c:pt>
                <c:pt idx="69">
                  <c:v>0.94505494505494492</c:v>
                </c:pt>
                <c:pt idx="70">
                  <c:v>0.95104895104895093</c:v>
                </c:pt>
                <c:pt idx="71">
                  <c:v>0.95904095904095887</c:v>
                </c:pt>
                <c:pt idx="72">
                  <c:v>0.96803196803196789</c:v>
                </c:pt>
                <c:pt idx="73">
                  <c:v>0.97602397602397584</c:v>
                </c:pt>
                <c:pt idx="74">
                  <c:v>0.98101898101898088</c:v>
                </c:pt>
                <c:pt idx="75">
                  <c:v>0.98301698301698293</c:v>
                </c:pt>
                <c:pt idx="76">
                  <c:v>0.98501498501498497</c:v>
                </c:pt>
                <c:pt idx="77">
                  <c:v>0.98701298701298701</c:v>
                </c:pt>
                <c:pt idx="78">
                  <c:v>0.99000999000999002</c:v>
                </c:pt>
                <c:pt idx="79">
                  <c:v>0.99100899100899098</c:v>
                </c:pt>
                <c:pt idx="80">
                  <c:v>0.99300699300699302</c:v>
                </c:pt>
                <c:pt idx="81">
                  <c:v>0.99400599400599399</c:v>
                </c:pt>
                <c:pt idx="82">
                  <c:v>0.99500499500499495</c:v>
                </c:pt>
                <c:pt idx="83">
                  <c:v>0.99600399600399592</c:v>
                </c:pt>
                <c:pt idx="84">
                  <c:v>0.99900099900099892</c:v>
                </c:pt>
                <c:pt idx="85">
                  <c:v>0.99900099900099892</c:v>
                </c:pt>
                <c:pt idx="86">
                  <c:v>0.99999999999999989</c:v>
                </c:pt>
                <c:pt idx="87">
                  <c:v>0.99999999999999989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04928"/>
        <c:axId val="139003392"/>
      </c:lineChart>
      <c:catAx>
        <c:axId val="1389263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39001856"/>
        <c:crosses val="autoZero"/>
        <c:auto val="1"/>
        <c:lblAlgn val="ctr"/>
        <c:lblOffset val="100"/>
        <c:noMultiLvlLbl val="0"/>
      </c:catAx>
      <c:valAx>
        <c:axId val="13900185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38926336"/>
        <c:crosses val="autoZero"/>
        <c:crossBetween val="between"/>
      </c:valAx>
      <c:valAx>
        <c:axId val="13900339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39004928"/>
        <c:crosses val="max"/>
        <c:crossBetween val="between"/>
      </c:valAx>
      <c:catAx>
        <c:axId val="139004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9003392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736405</xdr:colOff>
      <xdr:row>125</xdr:row>
      <xdr:rowOff>10026</xdr:rowOff>
    </xdr:from>
    <xdr:to>
      <xdr:col>11</xdr:col>
      <xdr:colOff>208549</xdr:colOff>
      <xdr:row>126</xdr:row>
      <xdr:rowOff>152164</xdr:rowOff>
    </xdr:to>
    <xdr:sp macro="[0]!Macro1" textlink="">
      <xdr:nvSpPr>
        <xdr:cNvPr id="3" name="1 Rectángulo"/>
        <xdr:cNvSpPr/>
      </xdr:nvSpPr>
      <xdr:spPr>
        <a:xfrm>
          <a:off x="9188589" y="18989842"/>
          <a:ext cx="1557618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EJECUTAR SIMULACIÓN</a:t>
          </a:r>
        </a:p>
      </xdr:txBody>
    </xdr:sp>
    <xdr:clientData/>
  </xdr:twoCellAnchor>
  <xdr:twoCellAnchor editAs="absolute">
    <xdr:from>
      <xdr:col>9</xdr:col>
      <xdr:colOff>721895</xdr:colOff>
      <xdr:row>129</xdr:row>
      <xdr:rowOff>106986</xdr:rowOff>
    </xdr:from>
    <xdr:to>
      <xdr:col>11</xdr:col>
      <xdr:colOff>199082</xdr:colOff>
      <xdr:row>131</xdr:row>
      <xdr:rowOff>88703</xdr:rowOff>
    </xdr:to>
    <xdr:sp macro="[0]!Eliminar_Simulación" textlink="">
      <xdr:nvSpPr>
        <xdr:cNvPr id="4" name="3 Rectángulo"/>
        <xdr:cNvSpPr/>
      </xdr:nvSpPr>
      <xdr:spPr>
        <a:xfrm>
          <a:off x="9174079" y="19728486"/>
          <a:ext cx="1562661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REINICIAR</a:t>
          </a:r>
        </a:p>
      </xdr:txBody>
    </xdr:sp>
    <xdr:clientData/>
  </xdr:twoCellAnchor>
  <xdr:twoCellAnchor editAs="oneCell">
    <xdr:from>
      <xdr:col>4</xdr:col>
      <xdr:colOff>50132</xdr:colOff>
      <xdr:row>85</xdr:row>
      <xdr:rowOff>10026</xdr:rowOff>
    </xdr:from>
    <xdr:to>
      <xdr:col>7</xdr:col>
      <xdr:colOff>330868</xdr:colOff>
      <xdr:row>97</xdr:row>
      <xdr:rowOff>54432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1343" y="12813631"/>
          <a:ext cx="2376236" cy="1768933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134472</xdr:colOff>
      <xdr:row>22</xdr:row>
      <xdr:rowOff>11203</xdr:rowOff>
    </xdr:from>
    <xdr:to>
      <xdr:col>14</xdr:col>
      <xdr:colOff>750795</xdr:colOff>
      <xdr:row>23</xdr:row>
      <xdr:rowOff>100850</xdr:rowOff>
    </xdr:to>
    <xdr:sp macro="[0]!Macro1" textlink="">
      <xdr:nvSpPr>
        <xdr:cNvPr id="2" name="1 Rectángulo"/>
        <xdr:cNvSpPr/>
      </xdr:nvSpPr>
      <xdr:spPr>
        <a:xfrm>
          <a:off x="11620501" y="4291850"/>
          <a:ext cx="1557618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EJECUTAR SIMULACIÓN</a:t>
          </a:r>
        </a:p>
      </xdr:txBody>
    </xdr:sp>
    <xdr:clientData/>
  </xdr:twoCellAnchor>
  <xdr:twoCellAnchor editAs="absolute">
    <xdr:from>
      <xdr:col>13</xdr:col>
      <xdr:colOff>141193</xdr:colOff>
      <xdr:row>23</xdr:row>
      <xdr:rowOff>174810</xdr:rowOff>
    </xdr:from>
    <xdr:to>
      <xdr:col>14</xdr:col>
      <xdr:colOff>762559</xdr:colOff>
      <xdr:row>25</xdr:row>
      <xdr:rowOff>73957</xdr:rowOff>
    </xdr:to>
    <xdr:sp macro="[0]!Eliminar_Simulación" textlink="">
      <xdr:nvSpPr>
        <xdr:cNvPr id="4" name="3 Rectángulo"/>
        <xdr:cNvSpPr/>
      </xdr:nvSpPr>
      <xdr:spPr>
        <a:xfrm>
          <a:off x="11627222" y="4668369"/>
          <a:ext cx="1562661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REINICIAR</a:t>
          </a:r>
        </a:p>
      </xdr:txBody>
    </xdr:sp>
    <xdr:clientData/>
  </xdr:twoCellAnchor>
  <xdr:twoCellAnchor editAs="oneCell">
    <xdr:from>
      <xdr:col>13</xdr:col>
      <xdr:colOff>44824</xdr:colOff>
      <xdr:row>4</xdr:row>
      <xdr:rowOff>145676</xdr:rowOff>
    </xdr:from>
    <xdr:to>
      <xdr:col>14</xdr:col>
      <xdr:colOff>829234</xdr:colOff>
      <xdr:row>13</xdr:row>
      <xdr:rowOff>44824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30853" y="1176617"/>
          <a:ext cx="1725705" cy="160244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-1</xdr:colOff>
      <xdr:row>11</xdr:row>
      <xdr:rowOff>179293</xdr:rowOff>
    </xdr:from>
    <xdr:to>
      <xdr:col>5</xdr:col>
      <xdr:colOff>268940</xdr:colOff>
      <xdr:row>23</xdr:row>
      <xdr:rowOff>141758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323" y="2532528"/>
          <a:ext cx="3216088" cy="2394141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395007</xdr:colOff>
      <xdr:row>4</xdr:row>
      <xdr:rowOff>18489</xdr:rowOff>
    </xdr:from>
    <xdr:to>
      <xdr:col>19</xdr:col>
      <xdr:colOff>268941</xdr:colOff>
      <xdr:row>25</xdr:row>
      <xdr:rowOff>123264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os%20de%20volumenes%20AP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_1"/>
      <sheetName val="Resum_2"/>
    </sheetNames>
    <sheetDataSet>
      <sheetData sheetId="0">
        <row r="6">
          <cell r="D6" t="str">
            <v>Total Asegurados</v>
          </cell>
          <cell r="F6" t="str">
            <v>Acum</v>
          </cell>
        </row>
        <row r="7">
          <cell r="C7" t="str">
            <v>2016</v>
          </cell>
          <cell r="D7">
            <v>78039</v>
          </cell>
          <cell r="F7">
            <v>4.4191946361932376E-2</v>
          </cell>
        </row>
        <row r="8">
          <cell r="C8" t="str">
            <v>2015</v>
          </cell>
          <cell r="D8">
            <v>291416</v>
          </cell>
          <cell r="F8">
            <v>0.20921507891115629</v>
          </cell>
        </row>
        <row r="9">
          <cell r="C9" t="str">
            <v>2014</v>
          </cell>
          <cell r="D9">
            <v>217020</v>
          </cell>
          <cell r="F9">
            <v>0.33210922413939559</v>
          </cell>
        </row>
        <row r="10">
          <cell r="C10" t="str">
            <v>2013</v>
          </cell>
          <cell r="D10">
            <v>213793</v>
          </cell>
          <cell r="F10">
            <v>0.45317598292098693</v>
          </cell>
        </row>
        <row r="11">
          <cell r="C11" t="str">
            <v>2012</v>
          </cell>
          <cell r="D11">
            <v>203986</v>
          </cell>
          <cell r="F11">
            <v>0.56868923104801494</v>
          </cell>
        </row>
        <row r="12">
          <cell r="C12" t="str">
            <v>2011</v>
          </cell>
          <cell r="D12">
            <v>159061</v>
          </cell>
          <cell r="F12">
            <v>0.65876233783148641</v>
          </cell>
        </row>
        <row r="13">
          <cell r="C13" t="str">
            <v>2010</v>
          </cell>
          <cell r="D13">
            <v>86315</v>
          </cell>
          <cell r="F13">
            <v>0.70764081974732584</v>
          </cell>
        </row>
        <row r="14">
          <cell r="C14" t="str">
            <v>2009</v>
          </cell>
          <cell r="D14">
            <v>82003</v>
          </cell>
          <cell r="F14">
            <v>0.75407750111840366</v>
          </cell>
        </row>
        <row r="15">
          <cell r="C15" t="str">
            <v>2008</v>
          </cell>
          <cell r="D15">
            <v>99654</v>
          </cell>
          <cell r="F15">
            <v>0.81050959561925595</v>
          </cell>
        </row>
        <row r="16">
          <cell r="C16" t="str">
            <v>2007</v>
          </cell>
          <cell r="D16">
            <v>82267</v>
          </cell>
          <cell r="F16">
            <v>0.85709577498287015</v>
          </cell>
        </row>
        <row r="17">
          <cell r="C17" t="str">
            <v>2006</v>
          </cell>
          <cell r="D17">
            <v>51258</v>
          </cell>
          <cell r="F17">
            <v>0.88612216930647669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2:XFC100"/>
  <sheetViews>
    <sheetView showGridLines="0" tabSelected="1" zoomScale="95" zoomScaleNormal="95" workbookViewId="0">
      <pane ySplit="3" topLeftCell="A4" activePane="bottomLeft" state="frozen"/>
      <selection pane="bottomLeft" activeCell="C5" sqref="C5"/>
    </sheetView>
  </sheetViews>
  <sheetFormatPr baseColWidth="10" defaultColWidth="0" defaultRowHeight="12.75" outlineLevelCol="1" x14ac:dyDescent="0.2"/>
  <cols>
    <col min="1" max="1" width="5.375" style="2" customWidth="1"/>
    <col min="2" max="2" width="3.75" style="161" customWidth="1"/>
    <col min="3" max="3" width="32.75" style="2" customWidth="1"/>
    <col min="4" max="4" width="14.125" style="2" customWidth="1" outlineLevel="1"/>
    <col min="5" max="5" width="11" style="2" customWidth="1" outlineLevel="1"/>
    <col min="6" max="6" width="2.125" style="50" customWidth="1"/>
    <col min="7" max="7" width="14.375" style="2" customWidth="1"/>
    <col min="8" max="12" width="13.625" style="2" customWidth="1"/>
    <col min="13" max="13" width="12.625" style="15" customWidth="1"/>
    <col min="14" max="14" width="82.5" style="2" bestFit="1" customWidth="1"/>
    <col min="15" max="15" width="44" style="2" bestFit="1" customWidth="1"/>
    <col min="16" max="16" width="10.625" style="2" bestFit="1" customWidth="1"/>
    <col min="17" max="17" width="22.25" style="2" bestFit="1" customWidth="1"/>
    <col min="18" max="21" width="7.5" style="2" bestFit="1" customWidth="1"/>
    <col min="22" max="22" width="7.875" style="2" bestFit="1" customWidth="1"/>
    <col min="23" max="23" width="3.25" style="2" bestFit="1" customWidth="1"/>
    <col min="24" max="24" width="7.375" style="2" bestFit="1" customWidth="1"/>
    <col min="25" max="25" width="10.625" style="2" bestFit="1" customWidth="1"/>
    <col min="26" max="27" width="10.25" style="2" bestFit="1" customWidth="1"/>
    <col min="28" max="28" width="6.25" style="2" bestFit="1" customWidth="1"/>
    <col min="29" max="29" width="8.375" style="2" bestFit="1" customWidth="1"/>
    <col min="30" max="31" width="6.25" style="2" bestFit="1" customWidth="1"/>
    <col min="32" max="16383" width="11" style="2" hidden="1"/>
    <col min="16384" max="16384" width="3.875" style="2" hidden="1"/>
  </cols>
  <sheetData>
    <row r="2" spans="2:27" ht="24.75" customHeight="1" x14ac:dyDescent="0.2">
      <c r="B2" s="291" t="s">
        <v>0</v>
      </c>
      <c r="C2" s="291"/>
      <c r="D2" s="6" t="s">
        <v>1</v>
      </c>
      <c r="E2" s="6" t="s">
        <v>2</v>
      </c>
      <c r="F2" s="62"/>
      <c r="G2" s="6" t="s">
        <v>7</v>
      </c>
      <c r="H2" s="6" t="s">
        <v>6</v>
      </c>
      <c r="I2" s="6" t="s">
        <v>8</v>
      </c>
      <c r="J2" s="6" t="s">
        <v>9</v>
      </c>
      <c r="K2" s="6" t="s">
        <v>11</v>
      </c>
      <c r="L2" s="6" t="s">
        <v>10</v>
      </c>
      <c r="M2" s="62"/>
      <c r="O2" s="2" t="s">
        <v>100</v>
      </c>
    </row>
    <row r="3" spans="2:27" ht="4.5" customHeight="1" thickBot="1" x14ac:dyDescent="0.3">
      <c r="N3"/>
    </row>
    <row r="4" spans="2:27" x14ac:dyDescent="0.2">
      <c r="C4" s="71" t="s">
        <v>161</v>
      </c>
      <c r="D4" s="72"/>
      <c r="E4" s="73"/>
      <c r="G4" s="74"/>
      <c r="H4" s="72"/>
      <c r="I4" s="72"/>
      <c r="J4" s="72"/>
      <c r="K4" s="72"/>
      <c r="L4" s="73"/>
      <c r="M4" s="50"/>
    </row>
    <row r="5" spans="2:27" x14ac:dyDescent="0.2">
      <c r="C5" s="45" t="s">
        <v>160</v>
      </c>
      <c r="D5" s="7"/>
      <c r="E5" s="8"/>
      <c r="G5" s="75">
        <v>144800</v>
      </c>
      <c r="H5" s="76">
        <f>G5*1.2</f>
        <v>173760</v>
      </c>
      <c r="I5" s="76">
        <f t="shared" ref="I5:L5" si="0">H5*1.2</f>
        <v>208512</v>
      </c>
      <c r="J5" s="76">
        <f t="shared" si="0"/>
        <v>250214.39999999999</v>
      </c>
      <c r="K5" s="76">
        <f t="shared" si="0"/>
        <v>300257.27999999997</v>
      </c>
      <c r="L5" s="76">
        <f t="shared" si="0"/>
        <v>360308.73599999998</v>
      </c>
      <c r="M5" s="119"/>
    </row>
    <row r="6" spans="2:27" x14ac:dyDescent="0.2">
      <c r="C6" s="43"/>
      <c r="D6" s="39"/>
      <c r="E6" s="283">
        <v>6</v>
      </c>
      <c r="G6" s="75">
        <f>$E$6*G5</f>
        <v>868800</v>
      </c>
      <c r="H6" s="75">
        <f t="shared" ref="H6:L6" si="1">$E$6*H5</f>
        <v>1042560</v>
      </c>
      <c r="I6" s="75">
        <f t="shared" si="1"/>
        <v>1251072</v>
      </c>
      <c r="J6" s="75">
        <f t="shared" si="1"/>
        <v>1501286.3999999999</v>
      </c>
      <c r="K6" s="75">
        <f t="shared" si="1"/>
        <v>1801543.6799999997</v>
      </c>
      <c r="L6" s="75">
        <f t="shared" si="1"/>
        <v>2161852.4159999997</v>
      </c>
      <c r="M6" s="58"/>
    </row>
    <row r="7" spans="2:27" x14ac:dyDescent="0.2">
      <c r="C7" s="44" t="s">
        <v>32</v>
      </c>
      <c r="D7" s="87"/>
      <c r="E7" s="41"/>
      <c r="G7" s="82">
        <f>G6</f>
        <v>868800</v>
      </c>
      <c r="H7" s="82">
        <f t="shared" ref="H7:L7" si="2">H6</f>
        <v>1042560</v>
      </c>
      <c r="I7" s="82">
        <f t="shared" si="2"/>
        <v>1251072</v>
      </c>
      <c r="J7" s="82">
        <f t="shared" si="2"/>
        <v>1501286.3999999999</v>
      </c>
      <c r="K7" s="82">
        <f t="shared" si="2"/>
        <v>1801543.6799999997</v>
      </c>
      <c r="L7" s="82">
        <f>L6</f>
        <v>2161852.4159999997</v>
      </c>
      <c r="M7" s="120"/>
      <c r="Y7" s="2" t="s">
        <v>113</v>
      </c>
      <c r="Z7" s="9">
        <v>0.5</v>
      </c>
      <c r="AA7" s="2">
        <f>+Z7*Y15</f>
        <v>24</v>
      </c>
    </row>
    <row r="8" spans="2:27" ht="6" customHeight="1" thickBot="1" x14ac:dyDescent="0.25">
      <c r="G8" s="3"/>
    </row>
    <row r="9" spans="2:27" x14ac:dyDescent="0.2">
      <c r="C9" s="71" t="s">
        <v>31</v>
      </c>
      <c r="D9" s="72"/>
      <c r="E9" s="73"/>
      <c r="G9" s="79"/>
      <c r="H9" s="80"/>
      <c r="I9" s="80"/>
      <c r="J9" s="80"/>
      <c r="K9" s="80"/>
      <c r="L9" s="81"/>
      <c r="M9" s="58"/>
    </row>
    <row r="10" spans="2:27" x14ac:dyDescent="0.2">
      <c r="C10" s="78" t="s">
        <v>34</v>
      </c>
      <c r="D10" s="78"/>
      <c r="E10" s="284">
        <v>2</v>
      </c>
      <c r="F10" s="51"/>
      <c r="G10" s="78"/>
      <c r="H10" s="78"/>
      <c r="I10" s="77">
        <f>(E10*1.05)</f>
        <v>2.1</v>
      </c>
      <c r="J10" s="77">
        <f>(I10*1.05)</f>
        <v>2.2050000000000001</v>
      </c>
      <c r="K10" s="77">
        <f>(J10*1.05)</f>
        <v>2.3152500000000003</v>
      </c>
      <c r="L10" s="77">
        <f>(K10*1.05)</f>
        <v>2.4310125000000005</v>
      </c>
      <c r="M10" s="51"/>
    </row>
    <row r="11" spans="2:27" x14ac:dyDescent="0.2">
      <c r="C11" s="78" t="s">
        <v>33</v>
      </c>
      <c r="D11" s="78"/>
      <c r="E11" s="78"/>
      <c r="G11" s="76"/>
      <c r="H11" s="82">
        <f>H5*$E$10</f>
        <v>347520</v>
      </c>
      <c r="I11" s="82">
        <f>I5*I10</f>
        <v>437875.20000000001</v>
      </c>
      <c r="J11" s="82">
        <f>J5*J10</f>
        <v>551722.75199999998</v>
      </c>
      <c r="K11" s="82">
        <f>K5*K10</f>
        <v>695170.66752000002</v>
      </c>
      <c r="L11" s="82">
        <f>L5*L10</f>
        <v>875915.04107520008</v>
      </c>
      <c r="M11" s="120"/>
    </row>
    <row r="12" spans="2:27" ht="3" customHeight="1" x14ac:dyDescent="0.2"/>
    <row r="13" spans="2:27" ht="16.5" x14ac:dyDescent="0.3">
      <c r="B13" s="290" t="s">
        <v>12</v>
      </c>
      <c r="C13" s="290"/>
      <c r="D13" s="290"/>
      <c r="E13" s="290"/>
      <c r="F13" s="65"/>
      <c r="G13" s="83">
        <f t="shared" ref="G13:L13" si="3">G7+G11</f>
        <v>868800</v>
      </c>
      <c r="H13" s="83">
        <f t="shared" si="3"/>
        <v>1390080</v>
      </c>
      <c r="I13" s="83">
        <f t="shared" si="3"/>
        <v>1688947.2</v>
      </c>
      <c r="J13" s="83">
        <f t="shared" si="3"/>
        <v>2053009.1519999998</v>
      </c>
      <c r="K13" s="83">
        <f t="shared" si="3"/>
        <v>2496714.3475199998</v>
      </c>
      <c r="L13" s="83">
        <f t="shared" si="3"/>
        <v>3037767.4570752</v>
      </c>
      <c r="M13" s="121"/>
    </row>
    <row r="14" spans="2:27" ht="13.5" thickBot="1" x14ac:dyDescent="0.25">
      <c r="C14" s="42"/>
      <c r="G14" s="46"/>
      <c r="H14" s="46"/>
      <c r="I14" s="46"/>
      <c r="J14" s="46"/>
      <c r="K14" s="46"/>
      <c r="L14" s="46"/>
      <c r="M14" s="46"/>
      <c r="T14" s="2" t="s">
        <v>94</v>
      </c>
      <c r="V14" s="2" t="s">
        <v>95</v>
      </c>
      <c r="Y14" s="2" t="s">
        <v>87</v>
      </c>
      <c r="AA14" s="2" t="s">
        <v>92</v>
      </c>
    </row>
    <row r="15" spans="2:27" ht="13.5" thickBot="1" x14ac:dyDescent="0.25">
      <c r="B15" s="171" t="s">
        <v>37</v>
      </c>
      <c r="C15" s="162" t="s">
        <v>35</v>
      </c>
      <c r="D15" s="88"/>
      <c r="E15" s="89"/>
      <c r="G15" s="86"/>
      <c r="H15" s="286" t="s">
        <v>13</v>
      </c>
      <c r="I15" s="286"/>
      <c r="J15" s="286"/>
      <c r="K15" s="286"/>
      <c r="L15" s="287"/>
      <c r="M15" s="122"/>
      <c r="Q15" s="1" t="s">
        <v>90</v>
      </c>
      <c r="T15" s="2">
        <v>8</v>
      </c>
      <c r="U15" s="2" t="s">
        <v>85</v>
      </c>
      <c r="X15" s="2" t="s">
        <v>86</v>
      </c>
      <c r="Y15" s="2">
        <v>48</v>
      </c>
      <c r="AA15" s="1" t="s">
        <v>91</v>
      </c>
    </row>
    <row r="16" spans="2:27" ht="6.75" customHeight="1" x14ac:dyDescent="0.2">
      <c r="B16" s="172"/>
      <c r="C16" s="106"/>
      <c r="D16" s="39"/>
      <c r="E16" s="39"/>
      <c r="G16" s="39"/>
      <c r="H16" s="107"/>
      <c r="I16" s="107"/>
      <c r="J16" s="107"/>
      <c r="K16" s="107"/>
      <c r="L16" s="107"/>
      <c r="M16" s="122"/>
      <c r="Q16" s="1"/>
      <c r="AA16" s="1"/>
    </row>
    <row r="17" spans="2:31" x14ac:dyDescent="0.2">
      <c r="B17" s="172" t="s">
        <v>38</v>
      </c>
      <c r="C17" s="163" t="s">
        <v>3</v>
      </c>
      <c r="D17" s="108"/>
      <c r="E17" s="109"/>
      <c r="F17" s="66"/>
      <c r="G17" s="110">
        <f t="shared" ref="G17:L17" si="4">SUM(G18:G20)</f>
        <v>23500</v>
      </c>
      <c r="H17" s="111">
        <f t="shared" si="4"/>
        <v>3250</v>
      </c>
      <c r="I17" s="111">
        <f t="shared" si="4"/>
        <v>3250</v>
      </c>
      <c r="J17" s="111">
        <f t="shared" si="4"/>
        <v>3250</v>
      </c>
      <c r="K17" s="111">
        <f t="shared" si="4"/>
        <v>3250</v>
      </c>
      <c r="L17" s="112">
        <f t="shared" si="4"/>
        <v>3250</v>
      </c>
      <c r="M17" s="123"/>
      <c r="Q17" s="2" t="s">
        <v>81</v>
      </c>
      <c r="T17" s="2">
        <f>($T$15*U17)*24</f>
        <v>15.36</v>
      </c>
      <c r="U17" s="9">
        <v>0.08</v>
      </c>
      <c r="V17" s="55">
        <f>T17*8</f>
        <v>122.88</v>
      </c>
      <c r="W17" s="9"/>
      <c r="X17" s="2">
        <f>(Y15*4)</f>
        <v>192</v>
      </c>
      <c r="Y17" s="2" t="s">
        <v>88</v>
      </c>
      <c r="AA17" s="2">
        <f>((Y15*4)*12)*90%</f>
        <v>2073.6</v>
      </c>
      <c r="AB17" s="2" t="s">
        <v>93</v>
      </c>
    </row>
    <row r="18" spans="2:31" ht="14.1" customHeight="1" x14ac:dyDescent="0.2">
      <c r="B18" s="172"/>
      <c r="C18" s="164" t="s">
        <v>4</v>
      </c>
      <c r="D18" s="96">
        <v>20</v>
      </c>
      <c r="E18" s="124">
        <v>550</v>
      </c>
      <c r="F18" s="67"/>
      <c r="G18" s="142">
        <f>D18*E18</f>
        <v>11000</v>
      </c>
      <c r="H18" s="142">
        <v>3000</v>
      </c>
      <c r="I18" s="142">
        <v>3000</v>
      </c>
      <c r="J18" s="142">
        <v>3000</v>
      </c>
      <c r="K18" s="142">
        <v>3000</v>
      </c>
      <c r="L18" s="142">
        <v>3000</v>
      </c>
      <c r="M18" s="116"/>
      <c r="N18" s="2" t="s">
        <v>67</v>
      </c>
      <c r="Q18" s="2" t="s">
        <v>82</v>
      </c>
      <c r="T18" s="2">
        <f>($T$15*U18)*24</f>
        <v>34.56</v>
      </c>
      <c r="U18" s="9">
        <v>0.18</v>
      </c>
      <c r="V18" s="55">
        <f>T18*8</f>
        <v>276.48</v>
      </c>
      <c r="W18" s="9"/>
      <c r="X18" s="2">
        <f>X17*T15</f>
        <v>1536</v>
      </c>
      <c r="Y18" s="2" t="s">
        <v>89</v>
      </c>
    </row>
    <row r="19" spans="2:31" ht="14.1" customHeight="1" x14ac:dyDescent="0.2">
      <c r="B19" s="172"/>
      <c r="C19" s="165" t="s">
        <v>102</v>
      </c>
      <c r="D19" s="97">
        <v>1</v>
      </c>
      <c r="E19" s="98">
        <v>5000</v>
      </c>
      <c r="F19" s="67"/>
      <c r="G19" s="143">
        <f>D19*E19</f>
        <v>5000</v>
      </c>
      <c r="H19" s="143">
        <f>$G$19*5%</f>
        <v>250</v>
      </c>
      <c r="I19" s="143">
        <f>$G$19*5%</f>
        <v>250</v>
      </c>
      <c r="J19" s="143">
        <f>$G$19*5%</f>
        <v>250</v>
      </c>
      <c r="K19" s="143">
        <f>$G$19*5%</f>
        <v>250</v>
      </c>
      <c r="L19" s="143">
        <f>$G$19*5%</f>
        <v>250</v>
      </c>
      <c r="M19" s="116"/>
      <c r="Q19" s="2" t="s">
        <v>83</v>
      </c>
      <c r="T19" s="2">
        <f>($T$15*U19)*24</f>
        <v>122.88</v>
      </c>
      <c r="U19" s="9">
        <v>0.64</v>
      </c>
      <c r="V19" s="55">
        <f>T19*8</f>
        <v>983.04</v>
      </c>
      <c r="W19" s="9"/>
      <c r="AA19" s="3">
        <f>+AA17*50%</f>
        <v>1036.8</v>
      </c>
    </row>
    <row r="20" spans="2:31" ht="14.1" customHeight="1" x14ac:dyDescent="0.2">
      <c r="B20" s="172"/>
      <c r="C20" s="165" t="s">
        <v>101</v>
      </c>
      <c r="D20" s="97">
        <v>1</v>
      </c>
      <c r="E20" s="98">
        <v>7500</v>
      </c>
      <c r="F20" s="67"/>
      <c r="G20" s="143">
        <f>D20*E20</f>
        <v>7500</v>
      </c>
      <c r="H20" s="143"/>
      <c r="I20" s="143"/>
      <c r="J20" s="143"/>
      <c r="K20" s="143"/>
      <c r="L20" s="143"/>
      <c r="M20" s="116"/>
      <c r="Q20" s="2" t="s">
        <v>84</v>
      </c>
      <c r="T20" s="2">
        <f>($T$15*U20)*24</f>
        <v>19.200000000000003</v>
      </c>
      <c r="U20" s="9">
        <v>0.1</v>
      </c>
      <c r="V20" s="55">
        <f>T20*8</f>
        <v>153.60000000000002</v>
      </c>
      <c r="W20" s="9"/>
    </row>
    <row r="21" spans="2:31" ht="5.0999999999999996" customHeight="1" x14ac:dyDescent="0.2">
      <c r="B21" s="172"/>
      <c r="C21" s="90"/>
      <c r="D21" s="68"/>
      <c r="E21" s="67"/>
      <c r="F21" s="67"/>
      <c r="G21" s="69"/>
      <c r="H21" s="70"/>
      <c r="I21" s="70"/>
      <c r="J21" s="70"/>
      <c r="K21" s="70"/>
      <c r="L21" s="114"/>
      <c r="M21" s="70"/>
      <c r="W21" s="9"/>
    </row>
    <row r="22" spans="2:31" x14ac:dyDescent="0.2">
      <c r="B22" s="172" t="s">
        <v>39</v>
      </c>
      <c r="C22" s="163" t="s">
        <v>5</v>
      </c>
      <c r="D22" s="84"/>
      <c r="E22" s="85"/>
      <c r="G22" s="110">
        <f t="shared" ref="G22:L22" si="5">SUM(G23:G26)</f>
        <v>9550</v>
      </c>
      <c r="H22" s="111">
        <f t="shared" si="5"/>
        <v>1550</v>
      </c>
      <c r="I22" s="111">
        <f t="shared" si="5"/>
        <v>1550</v>
      </c>
      <c r="J22" s="111">
        <f t="shared" si="5"/>
        <v>1550</v>
      </c>
      <c r="K22" s="111">
        <f t="shared" si="5"/>
        <v>1550</v>
      </c>
      <c r="L22" s="112">
        <f t="shared" si="5"/>
        <v>1550</v>
      </c>
      <c r="M22" s="123"/>
      <c r="U22" s="9">
        <f>SUM(U17:U20)</f>
        <v>1</v>
      </c>
      <c r="V22" s="56">
        <f>SUM(V17:V20)</f>
        <v>1536</v>
      </c>
    </row>
    <row r="23" spans="2:31" x14ac:dyDescent="0.2">
      <c r="B23" s="172"/>
      <c r="C23" s="166" t="s">
        <v>155</v>
      </c>
      <c r="D23" s="99">
        <v>20</v>
      </c>
      <c r="E23" s="125">
        <v>40</v>
      </c>
      <c r="F23" s="52"/>
      <c r="G23" s="144">
        <f t="shared" ref="G23:L23" si="6">$D$23*$E$23</f>
        <v>800</v>
      </c>
      <c r="H23" s="144">
        <f t="shared" si="6"/>
        <v>800</v>
      </c>
      <c r="I23" s="144">
        <f t="shared" si="6"/>
        <v>800</v>
      </c>
      <c r="J23" s="144">
        <f t="shared" si="6"/>
        <v>800</v>
      </c>
      <c r="K23" s="144">
        <f t="shared" si="6"/>
        <v>800</v>
      </c>
      <c r="L23" s="144">
        <f t="shared" si="6"/>
        <v>800</v>
      </c>
      <c r="M23" s="117"/>
      <c r="N23" s="2" t="s">
        <v>70</v>
      </c>
    </row>
    <row r="24" spans="2:31" x14ac:dyDescent="0.2">
      <c r="B24" s="172"/>
      <c r="C24" s="167" t="s">
        <v>156</v>
      </c>
      <c r="D24" s="101">
        <v>10</v>
      </c>
      <c r="E24" s="126">
        <v>300</v>
      </c>
      <c r="F24" s="52"/>
      <c r="G24" s="145">
        <f>D24*E24</f>
        <v>3000</v>
      </c>
      <c r="H24" s="145"/>
      <c r="I24" s="145"/>
      <c r="J24" s="145"/>
      <c r="K24" s="145"/>
      <c r="L24" s="145"/>
      <c r="M24" s="123"/>
    </row>
    <row r="25" spans="2:31" x14ac:dyDescent="0.2">
      <c r="B25" s="172"/>
      <c r="C25" s="167" t="s">
        <v>157</v>
      </c>
      <c r="D25" s="101">
        <v>5</v>
      </c>
      <c r="E25" s="126">
        <v>150</v>
      </c>
      <c r="F25" s="52"/>
      <c r="G25" s="145">
        <f t="shared" ref="G25:L25" si="7">($D$25*$E$25)</f>
        <v>750</v>
      </c>
      <c r="H25" s="145">
        <f t="shared" si="7"/>
        <v>750</v>
      </c>
      <c r="I25" s="145">
        <f t="shared" si="7"/>
        <v>750</v>
      </c>
      <c r="J25" s="145">
        <f t="shared" si="7"/>
        <v>750</v>
      </c>
      <c r="K25" s="145">
        <f t="shared" si="7"/>
        <v>750</v>
      </c>
      <c r="L25" s="145">
        <f t="shared" si="7"/>
        <v>750</v>
      </c>
      <c r="M25" s="123"/>
      <c r="N25" s="2" t="s">
        <v>69</v>
      </c>
    </row>
    <row r="26" spans="2:31" ht="25.5" x14ac:dyDescent="0.2">
      <c r="B26" s="172"/>
      <c r="C26" s="167" t="s">
        <v>72</v>
      </c>
      <c r="D26" s="103">
        <v>20</v>
      </c>
      <c r="E26" s="127">
        <v>250</v>
      </c>
      <c r="F26" s="64"/>
      <c r="G26" s="146">
        <f>D26*E26</f>
        <v>5000</v>
      </c>
      <c r="H26" s="145"/>
      <c r="I26" s="145"/>
      <c r="J26" s="145"/>
      <c r="K26" s="145"/>
      <c r="L26" s="145"/>
      <c r="M26" s="123"/>
      <c r="N26" s="2" t="s">
        <v>71</v>
      </c>
      <c r="S26" s="49">
        <v>270</v>
      </c>
      <c r="AC26" s="2" t="s">
        <v>99</v>
      </c>
      <c r="AE26" s="2">
        <v>12</v>
      </c>
    </row>
    <row r="27" spans="2:31" ht="5.0999999999999996" customHeight="1" x14ac:dyDescent="0.2">
      <c r="B27" s="172"/>
      <c r="C27" s="105"/>
      <c r="D27" s="47"/>
      <c r="E27" s="48"/>
      <c r="F27" s="64"/>
      <c r="G27" s="48"/>
      <c r="H27" s="39"/>
      <c r="I27" s="39"/>
      <c r="J27" s="39"/>
      <c r="K27" s="39"/>
      <c r="L27" s="113"/>
      <c r="M27" s="50"/>
      <c r="S27" s="49"/>
    </row>
    <row r="28" spans="2:31" x14ac:dyDescent="0.2">
      <c r="B28" s="172" t="s">
        <v>40</v>
      </c>
      <c r="C28" s="163" t="s">
        <v>103</v>
      </c>
      <c r="D28" s="84"/>
      <c r="E28" s="85"/>
      <c r="G28" s="110">
        <f t="shared" ref="G28:L28" si="8">SUM(G29:G33)</f>
        <v>9300</v>
      </c>
      <c r="H28" s="111">
        <f t="shared" si="8"/>
        <v>1900</v>
      </c>
      <c r="I28" s="111">
        <f t="shared" si="8"/>
        <v>1900</v>
      </c>
      <c r="J28" s="111">
        <f t="shared" si="8"/>
        <v>1900</v>
      </c>
      <c r="K28" s="111">
        <f t="shared" si="8"/>
        <v>1900</v>
      </c>
      <c r="L28" s="112">
        <f t="shared" si="8"/>
        <v>1900</v>
      </c>
      <c r="M28" s="123"/>
      <c r="S28" s="49"/>
    </row>
    <row r="29" spans="2:31" x14ac:dyDescent="0.2">
      <c r="B29" s="172"/>
      <c r="C29" s="166" t="s">
        <v>104</v>
      </c>
      <c r="D29" s="99">
        <v>1</v>
      </c>
      <c r="E29" s="100">
        <v>1200</v>
      </c>
      <c r="F29" s="52"/>
      <c r="G29" s="144">
        <f>D29*E29</f>
        <v>1200</v>
      </c>
      <c r="H29" s="144">
        <v>500</v>
      </c>
      <c r="I29" s="144">
        <v>500</v>
      </c>
      <c r="J29" s="144">
        <v>500</v>
      </c>
      <c r="K29" s="144">
        <v>500</v>
      </c>
      <c r="L29" s="144">
        <v>500</v>
      </c>
      <c r="M29" s="117"/>
      <c r="S29" s="49"/>
    </row>
    <row r="30" spans="2:31" x14ac:dyDescent="0.2">
      <c r="B30" s="172"/>
      <c r="C30" s="167" t="s">
        <v>105</v>
      </c>
      <c r="D30" s="101">
        <v>1000</v>
      </c>
      <c r="E30" s="102">
        <v>0.7</v>
      </c>
      <c r="F30" s="52"/>
      <c r="G30" s="145">
        <f>D30*E30</f>
        <v>700</v>
      </c>
      <c r="H30" s="145">
        <v>700</v>
      </c>
      <c r="I30" s="145">
        <v>700</v>
      </c>
      <c r="J30" s="145">
        <v>700</v>
      </c>
      <c r="K30" s="145">
        <v>700</v>
      </c>
      <c r="L30" s="145">
        <v>700</v>
      </c>
      <c r="M30" s="123"/>
      <c r="S30" s="49"/>
    </row>
    <row r="31" spans="2:31" x14ac:dyDescent="0.2">
      <c r="B31" s="172"/>
      <c r="C31" s="167" t="s">
        <v>106</v>
      </c>
      <c r="D31" s="101">
        <v>2</v>
      </c>
      <c r="E31" s="102">
        <v>500</v>
      </c>
      <c r="F31" s="52"/>
      <c r="G31" s="145">
        <f>D31*E31</f>
        <v>1000</v>
      </c>
      <c r="H31" s="145">
        <v>100</v>
      </c>
      <c r="I31" s="145">
        <v>100</v>
      </c>
      <c r="J31" s="145">
        <v>100</v>
      </c>
      <c r="K31" s="145">
        <v>100</v>
      </c>
      <c r="L31" s="145">
        <v>100</v>
      </c>
      <c r="M31" s="123"/>
      <c r="S31" s="49"/>
    </row>
    <row r="32" spans="2:31" x14ac:dyDescent="0.2">
      <c r="B32" s="172"/>
      <c r="C32" s="167" t="s">
        <v>107</v>
      </c>
      <c r="D32" s="103">
        <v>2</v>
      </c>
      <c r="E32" s="104">
        <v>700</v>
      </c>
      <c r="F32" s="64"/>
      <c r="G32" s="146">
        <f>D32*E32</f>
        <v>1400</v>
      </c>
      <c r="H32" s="145">
        <v>100</v>
      </c>
      <c r="I32" s="145">
        <v>100</v>
      </c>
      <c r="J32" s="145">
        <v>100</v>
      </c>
      <c r="K32" s="145">
        <v>100</v>
      </c>
      <c r="L32" s="145">
        <v>100</v>
      </c>
      <c r="M32" s="123"/>
      <c r="S32" s="49"/>
    </row>
    <row r="33" spans="2:31" x14ac:dyDescent="0.2">
      <c r="B33" s="172"/>
      <c r="C33" s="167" t="s">
        <v>108</v>
      </c>
      <c r="D33" s="103">
        <v>1</v>
      </c>
      <c r="E33" s="104">
        <v>5000</v>
      </c>
      <c r="F33" s="64"/>
      <c r="G33" s="146">
        <f>D33*E33</f>
        <v>5000</v>
      </c>
      <c r="H33" s="145">
        <v>500</v>
      </c>
      <c r="I33" s="145">
        <v>500</v>
      </c>
      <c r="J33" s="145">
        <v>500</v>
      </c>
      <c r="K33" s="145">
        <v>500</v>
      </c>
      <c r="L33" s="145">
        <v>500</v>
      </c>
      <c r="M33" s="123"/>
      <c r="N33" s="2" t="s">
        <v>109</v>
      </c>
      <c r="S33" s="49"/>
    </row>
    <row r="34" spans="2:31" ht="5.0999999999999996" customHeight="1" x14ac:dyDescent="0.2">
      <c r="B34" s="172"/>
      <c r="C34" s="95"/>
      <c r="D34" s="47"/>
      <c r="E34" s="48"/>
      <c r="F34" s="64"/>
      <c r="G34" s="48"/>
      <c r="H34" s="39"/>
      <c r="I34" s="39"/>
      <c r="J34" s="39"/>
      <c r="K34" s="39"/>
      <c r="L34" s="113"/>
      <c r="M34" s="50"/>
      <c r="S34" s="49"/>
    </row>
    <row r="35" spans="2:31" x14ac:dyDescent="0.2">
      <c r="B35" s="172" t="s">
        <v>77</v>
      </c>
      <c r="C35" s="163" t="s">
        <v>36</v>
      </c>
      <c r="D35" s="84"/>
      <c r="E35" s="85"/>
      <c r="G35" s="110">
        <f t="shared" ref="G35:L35" si="9">SUM(G36:G41)</f>
        <v>311808</v>
      </c>
      <c r="H35" s="111">
        <f t="shared" si="9"/>
        <v>580608</v>
      </c>
      <c r="I35" s="111">
        <f t="shared" si="9"/>
        <v>580608</v>
      </c>
      <c r="J35" s="111">
        <f t="shared" si="9"/>
        <v>580608</v>
      </c>
      <c r="K35" s="111">
        <f t="shared" si="9"/>
        <v>580608</v>
      </c>
      <c r="L35" s="112">
        <f t="shared" si="9"/>
        <v>580608</v>
      </c>
      <c r="M35" s="123"/>
      <c r="P35" s="53" t="s">
        <v>96</v>
      </c>
      <c r="Q35" s="53" t="s">
        <v>98</v>
      </c>
      <c r="R35" s="53" t="s">
        <v>73</v>
      </c>
      <c r="S35" s="53" t="s">
        <v>74</v>
      </c>
      <c r="T35" s="53" t="s">
        <v>75</v>
      </c>
      <c r="U35" s="53" t="s">
        <v>76</v>
      </c>
      <c r="V35" s="53"/>
      <c r="W35" s="53"/>
      <c r="AA35" s="9"/>
    </row>
    <row r="36" spans="2:31" x14ac:dyDescent="0.2">
      <c r="B36" s="173"/>
      <c r="C36" s="168" t="s">
        <v>46</v>
      </c>
      <c r="D36" s="91">
        <f t="shared" ref="D36:D41" si="10">P36</f>
        <v>768</v>
      </c>
      <c r="E36" s="92">
        <v>35</v>
      </c>
      <c r="F36" s="51"/>
      <c r="G36" s="147">
        <f t="shared" ref="G36:G41" si="11">D36*E36</f>
        <v>26880</v>
      </c>
      <c r="H36" s="147">
        <f>$E36*$AA$17</f>
        <v>72576</v>
      </c>
      <c r="I36" s="147">
        <f>$E36*$AA$17</f>
        <v>72576</v>
      </c>
      <c r="J36" s="147">
        <f t="shared" ref="J36:L41" si="12">$E36*$AA$17</f>
        <v>72576</v>
      </c>
      <c r="K36" s="147">
        <f t="shared" si="12"/>
        <v>72576</v>
      </c>
      <c r="L36" s="147">
        <f t="shared" si="12"/>
        <v>72576</v>
      </c>
      <c r="M36" s="117"/>
      <c r="N36" s="40"/>
      <c r="O36" s="9">
        <v>0.5</v>
      </c>
      <c r="P36" s="56">
        <f t="shared" ref="P36:P41" si="13">O36*($V$22)</f>
        <v>768</v>
      </c>
      <c r="Q36" s="56">
        <f t="shared" ref="Q36:U41" si="14">$AA$17</f>
        <v>2073.6</v>
      </c>
      <c r="R36" s="56">
        <f t="shared" si="14"/>
        <v>2073.6</v>
      </c>
      <c r="S36" s="56">
        <f t="shared" si="14"/>
        <v>2073.6</v>
      </c>
      <c r="T36" s="56">
        <f t="shared" si="14"/>
        <v>2073.6</v>
      </c>
      <c r="U36" s="56">
        <f t="shared" si="14"/>
        <v>2073.6</v>
      </c>
      <c r="W36" s="51"/>
      <c r="X36" s="38"/>
      <c r="Z36" s="55"/>
      <c r="AA36" s="56"/>
      <c r="AB36" s="3"/>
      <c r="AC36" s="59"/>
      <c r="AD36" s="56"/>
      <c r="AE36" s="56"/>
    </row>
    <row r="37" spans="2:31" x14ac:dyDescent="0.2">
      <c r="B37" s="173"/>
      <c r="C37" s="169" t="s">
        <v>47</v>
      </c>
      <c r="D37" s="93">
        <f t="shared" si="10"/>
        <v>1075.1999999999998</v>
      </c>
      <c r="E37" s="94">
        <v>30</v>
      </c>
      <c r="F37" s="51"/>
      <c r="G37" s="148">
        <f t="shared" si="11"/>
        <v>32255.999999999993</v>
      </c>
      <c r="H37" s="148">
        <f t="shared" ref="H37:I41" si="15">$E37*$AA$17</f>
        <v>62208</v>
      </c>
      <c r="I37" s="148">
        <f t="shared" si="15"/>
        <v>62208</v>
      </c>
      <c r="J37" s="148">
        <f t="shared" si="12"/>
        <v>62208</v>
      </c>
      <c r="K37" s="148">
        <f t="shared" si="12"/>
        <v>62208</v>
      </c>
      <c r="L37" s="148">
        <f t="shared" si="12"/>
        <v>62208</v>
      </c>
      <c r="M37" s="117"/>
      <c r="N37" s="40"/>
      <c r="O37" s="9">
        <v>0.7</v>
      </c>
      <c r="P37" s="56">
        <f t="shared" si="13"/>
        <v>1075.1999999999998</v>
      </c>
      <c r="Q37" s="56">
        <f t="shared" si="14"/>
        <v>2073.6</v>
      </c>
      <c r="R37" s="56">
        <f t="shared" si="14"/>
        <v>2073.6</v>
      </c>
      <c r="S37" s="56">
        <f t="shared" si="14"/>
        <v>2073.6</v>
      </c>
      <c r="T37" s="56">
        <f t="shared" si="14"/>
        <v>2073.6</v>
      </c>
      <c r="U37" s="56">
        <f t="shared" si="14"/>
        <v>2073.6</v>
      </c>
      <c r="W37" s="51"/>
      <c r="X37" s="38"/>
      <c r="Z37" s="55"/>
      <c r="AA37" s="56"/>
      <c r="AB37" s="3"/>
      <c r="AC37" s="59"/>
      <c r="AD37" s="56"/>
      <c r="AE37" s="56"/>
    </row>
    <row r="38" spans="2:31" x14ac:dyDescent="0.2">
      <c r="B38" s="173"/>
      <c r="C38" s="169" t="s">
        <v>48</v>
      </c>
      <c r="D38" s="93">
        <f t="shared" si="10"/>
        <v>1075.1999999999998</v>
      </c>
      <c r="E38" s="94">
        <v>35</v>
      </c>
      <c r="F38" s="51"/>
      <c r="G38" s="148">
        <f t="shared" si="11"/>
        <v>37631.999999999993</v>
      </c>
      <c r="H38" s="148">
        <f t="shared" si="15"/>
        <v>72576</v>
      </c>
      <c r="I38" s="148">
        <f t="shared" si="15"/>
        <v>72576</v>
      </c>
      <c r="J38" s="148">
        <f t="shared" si="12"/>
        <v>72576</v>
      </c>
      <c r="K38" s="148">
        <f t="shared" si="12"/>
        <v>72576</v>
      </c>
      <c r="L38" s="148">
        <f t="shared" si="12"/>
        <v>72576</v>
      </c>
      <c r="M38" s="117"/>
      <c r="N38" s="40"/>
      <c r="O38" s="9">
        <v>0.7</v>
      </c>
      <c r="P38" s="56">
        <f t="shared" si="13"/>
        <v>1075.1999999999998</v>
      </c>
      <c r="Q38" s="56">
        <f t="shared" si="14"/>
        <v>2073.6</v>
      </c>
      <c r="R38" s="56">
        <f t="shared" si="14"/>
        <v>2073.6</v>
      </c>
      <c r="S38" s="56">
        <f t="shared" si="14"/>
        <v>2073.6</v>
      </c>
      <c r="T38" s="56">
        <f t="shared" si="14"/>
        <v>2073.6</v>
      </c>
      <c r="U38" s="56">
        <f t="shared" si="14"/>
        <v>2073.6</v>
      </c>
      <c r="W38" s="51"/>
      <c r="X38" s="38"/>
      <c r="Z38" s="55"/>
      <c r="AA38" s="56"/>
      <c r="AB38" s="3"/>
      <c r="AC38" s="59"/>
      <c r="AD38" s="56"/>
      <c r="AE38" s="56"/>
    </row>
    <row r="39" spans="2:31" x14ac:dyDescent="0.2">
      <c r="B39" s="173"/>
      <c r="C39" s="169" t="s">
        <v>49</v>
      </c>
      <c r="D39" s="93">
        <f t="shared" si="10"/>
        <v>768</v>
      </c>
      <c r="E39" s="94">
        <v>50</v>
      </c>
      <c r="F39" s="51"/>
      <c r="G39" s="148">
        <f t="shared" si="11"/>
        <v>38400</v>
      </c>
      <c r="H39" s="148">
        <f t="shared" si="15"/>
        <v>103680</v>
      </c>
      <c r="I39" s="148">
        <f t="shared" si="15"/>
        <v>103680</v>
      </c>
      <c r="J39" s="148">
        <f t="shared" si="12"/>
        <v>103680</v>
      </c>
      <c r="K39" s="148">
        <f t="shared" si="12"/>
        <v>103680</v>
      </c>
      <c r="L39" s="148">
        <f t="shared" si="12"/>
        <v>103680</v>
      </c>
      <c r="M39" s="117"/>
      <c r="O39" s="9">
        <v>0.5</v>
      </c>
      <c r="P39" s="56">
        <f t="shared" si="13"/>
        <v>768</v>
      </c>
      <c r="Q39" s="56">
        <f t="shared" si="14"/>
        <v>2073.6</v>
      </c>
      <c r="R39" s="56">
        <f t="shared" si="14"/>
        <v>2073.6</v>
      </c>
      <c r="S39" s="56">
        <f t="shared" si="14"/>
        <v>2073.6</v>
      </c>
      <c r="T39" s="56">
        <f t="shared" si="14"/>
        <v>2073.6</v>
      </c>
      <c r="U39" s="56">
        <f t="shared" si="14"/>
        <v>2073.6</v>
      </c>
      <c r="W39" s="51"/>
      <c r="X39" s="38"/>
      <c r="Z39" s="55"/>
      <c r="AA39" s="56"/>
      <c r="AB39" s="3"/>
      <c r="AC39" s="59"/>
      <c r="AD39" s="56"/>
      <c r="AE39" s="56"/>
    </row>
    <row r="40" spans="2:31" x14ac:dyDescent="0.2">
      <c r="B40" s="173"/>
      <c r="C40" s="169" t="s">
        <v>50</v>
      </c>
      <c r="D40" s="93">
        <f t="shared" si="10"/>
        <v>768</v>
      </c>
      <c r="E40" s="94">
        <v>30</v>
      </c>
      <c r="F40" s="51"/>
      <c r="G40" s="148">
        <f t="shared" si="11"/>
        <v>23040</v>
      </c>
      <c r="H40" s="148">
        <f t="shared" si="15"/>
        <v>62208</v>
      </c>
      <c r="I40" s="148">
        <f t="shared" si="15"/>
        <v>62208</v>
      </c>
      <c r="J40" s="148">
        <f t="shared" si="12"/>
        <v>62208</v>
      </c>
      <c r="K40" s="148">
        <f t="shared" si="12"/>
        <v>62208</v>
      </c>
      <c r="L40" s="148">
        <f t="shared" si="12"/>
        <v>62208</v>
      </c>
      <c r="M40" s="117"/>
      <c r="N40" s="40"/>
      <c r="O40" s="9">
        <v>0.5</v>
      </c>
      <c r="P40" s="56">
        <f t="shared" si="13"/>
        <v>768</v>
      </c>
      <c r="Q40" s="56">
        <f t="shared" si="14"/>
        <v>2073.6</v>
      </c>
      <c r="R40" s="56">
        <f t="shared" si="14"/>
        <v>2073.6</v>
      </c>
      <c r="S40" s="56">
        <f t="shared" si="14"/>
        <v>2073.6</v>
      </c>
      <c r="T40" s="56">
        <f t="shared" si="14"/>
        <v>2073.6</v>
      </c>
      <c r="U40" s="56">
        <f t="shared" si="14"/>
        <v>2073.6</v>
      </c>
      <c r="W40" s="51"/>
      <c r="X40" s="38"/>
      <c r="Z40" s="55"/>
      <c r="AA40" s="56"/>
      <c r="AB40" s="3"/>
      <c r="AC40" s="59"/>
      <c r="AD40" s="56"/>
      <c r="AE40" s="56"/>
    </row>
    <row r="41" spans="2:31" ht="13.5" x14ac:dyDescent="0.25">
      <c r="B41" s="173"/>
      <c r="C41" s="170" t="s">
        <v>51</v>
      </c>
      <c r="D41" s="93">
        <f t="shared" si="10"/>
        <v>1536</v>
      </c>
      <c r="E41" s="94">
        <v>100</v>
      </c>
      <c r="F41" s="51"/>
      <c r="G41" s="148">
        <f t="shared" si="11"/>
        <v>153600</v>
      </c>
      <c r="H41" s="148">
        <f t="shared" si="15"/>
        <v>207360</v>
      </c>
      <c r="I41" s="148">
        <f t="shared" si="15"/>
        <v>207360</v>
      </c>
      <c r="J41" s="148">
        <f t="shared" si="12"/>
        <v>207360</v>
      </c>
      <c r="K41" s="148">
        <f t="shared" si="12"/>
        <v>207360</v>
      </c>
      <c r="L41" s="148">
        <f t="shared" si="12"/>
        <v>207360</v>
      </c>
      <c r="M41" s="117"/>
      <c r="N41" s="40"/>
      <c r="O41" s="9">
        <v>1</v>
      </c>
      <c r="P41" s="56">
        <f t="shared" si="13"/>
        <v>1536</v>
      </c>
      <c r="Q41" s="56">
        <f t="shared" si="14"/>
        <v>2073.6</v>
      </c>
      <c r="R41" s="56">
        <f t="shared" si="14"/>
        <v>2073.6</v>
      </c>
      <c r="S41" s="56">
        <f t="shared" si="14"/>
        <v>2073.6</v>
      </c>
      <c r="T41" s="56">
        <f t="shared" si="14"/>
        <v>2073.6</v>
      </c>
      <c r="U41" s="56">
        <f t="shared" si="14"/>
        <v>2073.6</v>
      </c>
      <c r="W41" s="51"/>
      <c r="X41" s="38"/>
      <c r="Z41" s="55"/>
      <c r="AA41" s="56"/>
      <c r="AB41" s="3"/>
      <c r="AC41" s="59"/>
      <c r="AD41" s="56"/>
      <c r="AE41" s="56"/>
    </row>
    <row r="42" spans="2:31" ht="5.0999999999999996" customHeight="1" x14ac:dyDescent="0.2">
      <c r="B42" s="173"/>
      <c r="C42" s="54"/>
      <c r="D42" s="57"/>
      <c r="E42" s="51"/>
      <c r="F42" s="51"/>
      <c r="G42" s="52"/>
      <c r="H42" s="58"/>
      <c r="I42" s="58"/>
      <c r="J42" s="58"/>
      <c r="K42" s="58"/>
      <c r="L42" s="115"/>
      <c r="M42" s="58"/>
      <c r="N42" s="40"/>
      <c r="O42" s="9"/>
      <c r="P42" s="56"/>
      <c r="Q42" s="56"/>
      <c r="R42" s="56"/>
      <c r="S42" s="56"/>
      <c r="T42" s="56"/>
      <c r="U42" s="56"/>
      <c r="W42" s="51"/>
      <c r="X42" s="38"/>
      <c r="Z42" s="55"/>
      <c r="AA42" s="56"/>
      <c r="AB42" s="3"/>
      <c r="AC42" s="59"/>
      <c r="AD42" s="56"/>
      <c r="AE42" s="56"/>
    </row>
    <row r="43" spans="2:31" x14ac:dyDescent="0.2">
      <c r="B43" s="172" t="s">
        <v>110</v>
      </c>
      <c r="C43" s="163" t="s">
        <v>78</v>
      </c>
      <c r="D43" s="84"/>
      <c r="E43" s="85"/>
      <c r="G43" s="110">
        <f t="shared" ref="G43:L43" si="16">SUM(G44:G45)</f>
        <v>314880</v>
      </c>
      <c r="H43" s="111">
        <f t="shared" si="16"/>
        <v>0</v>
      </c>
      <c r="I43" s="111">
        <f t="shared" si="16"/>
        <v>0</v>
      </c>
      <c r="J43" s="111">
        <f t="shared" si="16"/>
        <v>0</v>
      </c>
      <c r="K43" s="111">
        <f t="shared" si="16"/>
        <v>0</v>
      </c>
      <c r="L43" s="112">
        <f t="shared" si="16"/>
        <v>0</v>
      </c>
      <c r="M43" s="123"/>
      <c r="N43" s="40"/>
      <c r="P43" s="53" t="s">
        <v>96</v>
      </c>
      <c r="Q43" s="53" t="s">
        <v>97</v>
      </c>
      <c r="W43" s="51"/>
      <c r="X43" s="38"/>
    </row>
    <row r="44" spans="2:31" x14ac:dyDescent="0.2">
      <c r="B44" s="173"/>
      <c r="C44" s="168" t="s">
        <v>79</v>
      </c>
      <c r="D44" s="91">
        <f>P44</f>
        <v>1536</v>
      </c>
      <c r="E44" s="92">
        <v>120</v>
      </c>
      <c r="F44" s="51"/>
      <c r="G44" s="147">
        <f>D44*E44</f>
        <v>184320</v>
      </c>
      <c r="H44" s="147"/>
      <c r="I44" s="147"/>
      <c r="J44" s="147"/>
      <c r="K44" s="147"/>
      <c r="L44" s="147"/>
      <c r="M44" s="118"/>
      <c r="N44" s="40"/>
      <c r="O44" s="9">
        <v>1</v>
      </c>
      <c r="P44" s="56">
        <f>O44*($V$22)</f>
        <v>1536</v>
      </c>
      <c r="W44" s="51"/>
      <c r="X44" s="38"/>
      <c r="Z44" s="55"/>
      <c r="AA44" s="56"/>
      <c r="AB44" s="3"/>
      <c r="AC44" s="59"/>
      <c r="AD44" s="56"/>
      <c r="AE44" s="56"/>
    </row>
    <row r="45" spans="2:31" x14ac:dyDescent="0.2">
      <c r="B45" s="174"/>
      <c r="C45" s="170" t="s">
        <v>80</v>
      </c>
      <c r="D45" s="93">
        <f>P45</f>
        <v>1536</v>
      </c>
      <c r="E45" s="94">
        <v>85</v>
      </c>
      <c r="F45" s="51"/>
      <c r="G45" s="148">
        <f>D45*E45</f>
        <v>130560</v>
      </c>
      <c r="H45" s="148"/>
      <c r="I45" s="148"/>
      <c r="J45" s="148"/>
      <c r="K45" s="148"/>
      <c r="L45" s="148"/>
      <c r="M45" s="118"/>
      <c r="N45" s="40"/>
      <c r="O45" s="9">
        <v>1</v>
      </c>
      <c r="P45" s="56">
        <f>O45*($V$22)</f>
        <v>1536</v>
      </c>
      <c r="W45" s="51"/>
      <c r="X45" s="38"/>
      <c r="Z45" s="55"/>
      <c r="AA45" s="56"/>
      <c r="AB45" s="3"/>
      <c r="AC45" s="59"/>
      <c r="AD45" s="56"/>
      <c r="AE45" s="56"/>
    </row>
    <row r="46" spans="2:31" ht="9" customHeight="1" thickBot="1" x14ac:dyDescent="0.25">
      <c r="C46" s="54"/>
      <c r="D46" s="50"/>
      <c r="E46" s="51"/>
      <c r="F46" s="51"/>
      <c r="G46" s="52"/>
      <c r="H46" s="50"/>
      <c r="I46" s="50"/>
      <c r="J46" s="50"/>
      <c r="K46" s="50"/>
      <c r="L46" s="50"/>
      <c r="M46" s="50"/>
      <c r="N46" s="40"/>
      <c r="O46" s="9"/>
      <c r="P46" s="56"/>
      <c r="W46" s="51"/>
      <c r="X46" s="38"/>
    </row>
    <row r="47" spans="2:31" ht="13.5" thickBot="1" x14ac:dyDescent="0.25">
      <c r="B47" s="171" t="s">
        <v>52</v>
      </c>
      <c r="C47" s="175" t="s">
        <v>41</v>
      </c>
      <c r="D47" s="137"/>
      <c r="E47" s="138"/>
      <c r="G47" s="136"/>
      <c r="H47" s="288" t="s">
        <v>13</v>
      </c>
      <c r="I47" s="288"/>
      <c r="J47" s="288"/>
      <c r="K47" s="288"/>
      <c r="L47" s="289"/>
      <c r="M47" s="50"/>
    </row>
    <row r="48" spans="2:31" ht="7.5" customHeight="1" x14ac:dyDescent="0.2">
      <c r="B48" s="172"/>
      <c r="C48" s="106"/>
      <c r="D48" s="39"/>
      <c r="E48" s="39"/>
      <c r="G48" s="39"/>
      <c r="H48" s="39"/>
      <c r="I48" s="39"/>
      <c r="J48" s="39"/>
      <c r="K48" s="39"/>
      <c r="L48" s="39"/>
      <c r="M48" s="50"/>
    </row>
    <row r="49" spans="2:31" x14ac:dyDescent="0.2">
      <c r="B49" s="172" t="s">
        <v>53</v>
      </c>
      <c r="C49" s="176" t="s">
        <v>42</v>
      </c>
      <c r="D49" s="132"/>
      <c r="E49" s="133"/>
      <c r="G49" s="153">
        <f t="shared" ref="G49:L49" si="17">SUM(G50:G52)</f>
        <v>25000</v>
      </c>
      <c r="H49" s="154">
        <f t="shared" si="17"/>
        <v>6500</v>
      </c>
      <c r="I49" s="154">
        <f t="shared" si="17"/>
        <v>6500</v>
      </c>
      <c r="J49" s="154">
        <f t="shared" si="17"/>
        <v>6500</v>
      </c>
      <c r="K49" s="154">
        <f t="shared" si="17"/>
        <v>6500</v>
      </c>
      <c r="L49" s="155">
        <f t="shared" si="17"/>
        <v>6500</v>
      </c>
      <c r="M49" s="50"/>
    </row>
    <row r="50" spans="2:31" x14ac:dyDescent="0.2">
      <c r="B50" s="173"/>
      <c r="C50" s="177" t="s">
        <v>43</v>
      </c>
      <c r="D50" s="99">
        <v>20</v>
      </c>
      <c r="E50" s="139">
        <v>500</v>
      </c>
      <c r="F50" s="60"/>
      <c r="G50" s="147">
        <f>D50*E50</f>
        <v>10000</v>
      </c>
      <c r="H50" s="147">
        <v>1000</v>
      </c>
      <c r="I50" s="147">
        <v>1000</v>
      </c>
      <c r="J50" s="147">
        <v>1000</v>
      </c>
      <c r="K50" s="147">
        <v>1000</v>
      </c>
      <c r="L50" s="147">
        <v>1000</v>
      </c>
      <c r="M50" s="58"/>
    </row>
    <row r="51" spans="2:31" x14ac:dyDescent="0.2">
      <c r="B51" s="173"/>
      <c r="C51" s="178" t="s">
        <v>44</v>
      </c>
      <c r="D51" s="101">
        <v>4</v>
      </c>
      <c r="E51" s="140">
        <v>3500</v>
      </c>
      <c r="F51" s="60"/>
      <c r="G51" s="148">
        <f>D51*E51</f>
        <v>14000</v>
      </c>
      <c r="H51" s="148">
        <v>5500</v>
      </c>
      <c r="I51" s="148">
        <v>5500</v>
      </c>
      <c r="J51" s="148">
        <v>5500</v>
      </c>
      <c r="K51" s="148">
        <v>5500</v>
      </c>
      <c r="L51" s="148">
        <v>5500</v>
      </c>
      <c r="M51" s="61"/>
    </row>
    <row r="52" spans="2:31" x14ac:dyDescent="0.2">
      <c r="B52" s="173"/>
      <c r="C52" s="165" t="s">
        <v>45</v>
      </c>
      <c r="D52" s="101">
        <v>4</v>
      </c>
      <c r="E52" s="257">
        <v>250</v>
      </c>
      <c r="F52" s="60"/>
      <c r="G52" s="148">
        <f>D52*E52</f>
        <v>1000</v>
      </c>
      <c r="H52" s="148"/>
      <c r="I52" s="148"/>
      <c r="J52" s="148"/>
      <c r="K52" s="148"/>
      <c r="L52" s="148"/>
      <c r="M52" s="61"/>
    </row>
    <row r="53" spans="2:31" ht="5.0999999999999996" customHeight="1" x14ac:dyDescent="0.2">
      <c r="B53" s="173"/>
      <c r="C53" s="90"/>
      <c r="D53" s="40"/>
      <c r="E53" s="60"/>
      <c r="F53" s="60"/>
      <c r="G53" s="52"/>
      <c r="H53" s="61"/>
      <c r="I53" s="61"/>
      <c r="J53" s="61"/>
      <c r="K53" s="61"/>
      <c r="L53" s="61"/>
      <c r="M53" s="61"/>
    </row>
    <row r="54" spans="2:31" x14ac:dyDescent="0.2">
      <c r="B54" s="172" t="s">
        <v>55</v>
      </c>
      <c r="C54" s="176" t="s">
        <v>54</v>
      </c>
      <c r="D54" s="132"/>
      <c r="E54" s="133"/>
      <c r="G54" s="156">
        <f t="shared" ref="G54:L54" si="18">G55</f>
        <v>24000</v>
      </c>
      <c r="H54" s="157">
        <f t="shared" si="18"/>
        <v>1500</v>
      </c>
      <c r="I54" s="157">
        <f t="shared" si="18"/>
        <v>1500</v>
      </c>
      <c r="J54" s="157">
        <f t="shared" si="18"/>
        <v>1500</v>
      </c>
      <c r="K54" s="157">
        <f t="shared" si="18"/>
        <v>1500</v>
      </c>
      <c r="L54" s="158">
        <f t="shared" si="18"/>
        <v>1500</v>
      </c>
      <c r="M54" s="50"/>
    </row>
    <row r="55" spans="2:31" x14ac:dyDescent="0.2">
      <c r="B55" s="173"/>
      <c r="C55" s="177" t="s">
        <v>158</v>
      </c>
      <c r="D55" s="99">
        <v>4</v>
      </c>
      <c r="E55" s="141">
        <v>6000</v>
      </c>
      <c r="G55" s="147">
        <f>D55*E55</f>
        <v>24000</v>
      </c>
      <c r="H55" s="147">
        <v>1500</v>
      </c>
      <c r="I55" s="147">
        <v>1500</v>
      </c>
      <c r="J55" s="147">
        <v>1500</v>
      </c>
      <c r="K55" s="147">
        <v>1500</v>
      </c>
      <c r="L55" s="147">
        <v>1500</v>
      </c>
      <c r="M55" s="50"/>
      <c r="N55" s="39" t="s">
        <v>68</v>
      </c>
    </row>
    <row r="56" spans="2:31" ht="5.0999999999999996" customHeight="1" x14ac:dyDescent="0.2">
      <c r="B56" s="173"/>
      <c r="C56" s="39"/>
      <c r="D56" s="39"/>
      <c r="E56" s="39"/>
      <c r="G56" s="39"/>
      <c r="H56" s="39"/>
      <c r="I56" s="39"/>
      <c r="J56" s="39"/>
      <c r="K56" s="39"/>
      <c r="L56" s="39"/>
      <c r="M56" s="50"/>
    </row>
    <row r="57" spans="2:31" ht="13.5" x14ac:dyDescent="0.25">
      <c r="B57" s="172" t="s">
        <v>56</v>
      </c>
      <c r="C57" s="176" t="s">
        <v>112</v>
      </c>
      <c r="D57" s="159"/>
      <c r="E57" s="133"/>
      <c r="G57" s="153">
        <f t="shared" ref="G57:L57" si="19">SUM(G58:G63)</f>
        <v>334080</v>
      </c>
      <c r="H57" s="154">
        <f t="shared" si="19"/>
        <v>277344</v>
      </c>
      <c r="I57" s="154">
        <f t="shared" si="19"/>
        <v>277344</v>
      </c>
      <c r="J57" s="154">
        <f t="shared" si="19"/>
        <v>277344</v>
      </c>
      <c r="K57" s="154">
        <f t="shared" si="19"/>
        <v>277344</v>
      </c>
      <c r="L57" s="155">
        <f t="shared" si="19"/>
        <v>277344</v>
      </c>
      <c r="M57" s="50"/>
    </row>
    <row r="58" spans="2:31" x14ac:dyDescent="0.2">
      <c r="B58" s="173"/>
      <c r="C58" s="177" t="s">
        <v>57</v>
      </c>
      <c r="D58" s="149">
        <f t="shared" ref="D58:D63" si="20">$V$22</f>
        <v>1536</v>
      </c>
      <c r="E58" s="160">
        <v>45</v>
      </c>
      <c r="F58" s="51"/>
      <c r="G58" s="150">
        <f>($D$58*0.5)*$E$58</f>
        <v>34560</v>
      </c>
      <c r="H58" s="150">
        <f>$E$58*($AA$17*0.25)</f>
        <v>23328</v>
      </c>
      <c r="I58" s="150">
        <f>$E$58*($AA$17*0.25)</f>
        <v>23328</v>
      </c>
      <c r="J58" s="150">
        <f>$E$58*($AA$17*0.25)</f>
        <v>23328</v>
      </c>
      <c r="K58" s="150">
        <f>$E$58*($AA$17*0.25)</f>
        <v>23328</v>
      </c>
      <c r="L58" s="150">
        <f>$E$58*($AA$17*0.25)</f>
        <v>23328</v>
      </c>
      <c r="M58" s="51"/>
      <c r="N58" s="2" t="s">
        <v>117</v>
      </c>
    </row>
    <row r="59" spans="2:31" x14ac:dyDescent="0.2">
      <c r="B59" s="173"/>
      <c r="C59" s="178" t="s">
        <v>111</v>
      </c>
      <c r="D59" s="151">
        <f t="shared" si="20"/>
        <v>1536</v>
      </c>
      <c r="E59" s="128">
        <v>35</v>
      </c>
      <c r="F59" s="51"/>
      <c r="G59" s="152">
        <f>($D$59*0.5)*$E$59</f>
        <v>26880</v>
      </c>
      <c r="H59" s="152">
        <f>$E$59*($AA$17*0.25)</f>
        <v>18144</v>
      </c>
      <c r="I59" s="152">
        <f>$E$59*($AA$17*0.25)</f>
        <v>18144</v>
      </c>
      <c r="J59" s="152">
        <f>$E$59*($AA$17*0.25)</f>
        <v>18144</v>
      </c>
      <c r="K59" s="152">
        <f>$E$59*($AA$17*0.25)</f>
        <v>18144</v>
      </c>
      <c r="L59" s="152">
        <f>$E$59*($AA$17*0.25)</f>
        <v>18144</v>
      </c>
      <c r="M59" s="51"/>
    </row>
    <row r="60" spans="2:31" x14ac:dyDescent="0.2">
      <c r="B60" s="173"/>
      <c r="C60" s="178" t="s">
        <v>58</v>
      </c>
      <c r="D60" s="151">
        <f t="shared" si="20"/>
        <v>1536</v>
      </c>
      <c r="E60" s="128">
        <v>30</v>
      </c>
      <c r="G60" s="152">
        <f>$E$60*($D$60*0.5)</f>
        <v>23040</v>
      </c>
      <c r="H60" s="152">
        <f>$E$60*($AA$17*0.25)</f>
        <v>15552</v>
      </c>
      <c r="I60" s="152">
        <f>$E$60*($AA$17*0.25)</f>
        <v>15552</v>
      </c>
      <c r="J60" s="152">
        <f>$E$60*($AA$17*0.25)</f>
        <v>15552</v>
      </c>
      <c r="K60" s="152">
        <f>$E$60*($AA$17*0.25)</f>
        <v>15552</v>
      </c>
      <c r="L60" s="152">
        <f>$E$60*($AA$17*0.25)</f>
        <v>15552</v>
      </c>
      <c r="M60" s="51"/>
    </row>
    <row r="61" spans="2:31" x14ac:dyDescent="0.2">
      <c r="B61" s="173"/>
      <c r="C61" s="178" t="s">
        <v>59</v>
      </c>
      <c r="D61" s="151">
        <f t="shared" si="20"/>
        <v>1536</v>
      </c>
      <c r="E61" s="128">
        <v>25</v>
      </c>
      <c r="G61" s="152">
        <f>$E$61*($D$61*0.5)</f>
        <v>19200</v>
      </c>
      <c r="H61" s="152">
        <f>$E$61*($AA$17*0.25)</f>
        <v>12960</v>
      </c>
      <c r="I61" s="152">
        <f>$E$61*($AA$17*0.25)</f>
        <v>12960</v>
      </c>
      <c r="J61" s="152">
        <f>$E$61*($AA$17*0.25)</f>
        <v>12960</v>
      </c>
      <c r="K61" s="152">
        <f>$E$61*($AA$17*0.25)</f>
        <v>12960</v>
      </c>
      <c r="L61" s="152">
        <f>$E$61*($AA$17*0.25)</f>
        <v>12960</v>
      </c>
      <c r="M61" s="51"/>
    </row>
    <row r="62" spans="2:31" x14ac:dyDescent="0.2">
      <c r="B62" s="173"/>
      <c r="C62" s="178" t="s">
        <v>114</v>
      </c>
      <c r="D62" s="151">
        <f t="shared" si="20"/>
        <v>1536</v>
      </c>
      <c r="E62" s="128">
        <v>25</v>
      </c>
      <c r="F62" s="2"/>
      <c r="G62" s="152">
        <f>(4*($D$62*100%))*$E$62</f>
        <v>153600</v>
      </c>
      <c r="H62" s="152">
        <f>(4*($AA$17*50%))*$E$62</f>
        <v>103680</v>
      </c>
      <c r="I62" s="152">
        <f>(4*($AA$17*50%))*$E$62</f>
        <v>103680</v>
      </c>
      <c r="J62" s="152">
        <f>(4*($AA$17*50%))*$E$62</f>
        <v>103680</v>
      </c>
      <c r="K62" s="152">
        <f>(4*($AA$17*50%))*$E$62</f>
        <v>103680</v>
      </c>
      <c r="L62" s="152">
        <f>(4*($AA$17*50%))*$E$62</f>
        <v>103680</v>
      </c>
      <c r="M62" s="51"/>
      <c r="N62" s="2" t="s">
        <v>116</v>
      </c>
      <c r="W62" s="51">
        <v>85</v>
      </c>
      <c r="X62" s="38">
        <f>W62*40%</f>
        <v>34</v>
      </c>
      <c r="Z62" s="55">
        <v>5000000</v>
      </c>
      <c r="AA62" s="56">
        <f>Z62*(1+$AA$35)</f>
        <v>5000000</v>
      </c>
      <c r="AB62" s="3">
        <f>(AA62/24)/8</f>
        <v>26041.666666666668</v>
      </c>
      <c r="AC62" s="59" t="e">
        <f>ROUNDUP(AB62/$AC$35,0)</f>
        <v>#DIV/0!</v>
      </c>
      <c r="AD62" s="56" t="e">
        <f>ROUNDUP(AA62/$AC$35,-2)</f>
        <v>#DIV/0!</v>
      </c>
      <c r="AE62" s="56" t="e">
        <f>AD62*$AE$26</f>
        <v>#DIV/0!</v>
      </c>
    </row>
    <row r="63" spans="2:31" x14ac:dyDescent="0.2">
      <c r="B63" s="174"/>
      <c r="C63" s="178" t="s">
        <v>115</v>
      </c>
      <c r="D63" s="151">
        <f t="shared" si="20"/>
        <v>1536</v>
      </c>
      <c r="E63" s="128">
        <v>25</v>
      </c>
      <c r="G63" s="152">
        <f>(2*($D$63*100%))*$E$63</f>
        <v>76800</v>
      </c>
      <c r="H63" s="152">
        <f>(4*($AA$17*50%))*$E$63</f>
        <v>103680</v>
      </c>
      <c r="I63" s="152">
        <f>(4*($AA$17*50%))*$E$63</f>
        <v>103680</v>
      </c>
      <c r="J63" s="152">
        <f>(4*($AA$17*50%))*$E$63</f>
        <v>103680</v>
      </c>
      <c r="K63" s="152">
        <f>(4*($AA$17*50%))*$E$63</f>
        <v>103680</v>
      </c>
      <c r="L63" s="152">
        <f>(4*($AA$17*50%))*$E$63</f>
        <v>103680</v>
      </c>
      <c r="M63" s="51"/>
      <c r="V63" s="2">
        <v>2</v>
      </c>
    </row>
    <row r="64" spans="2:31" ht="7.5" customHeight="1" thickBot="1" x14ac:dyDescent="0.25"/>
    <row r="65" spans="2:22" ht="13.5" thickBot="1" x14ac:dyDescent="0.25">
      <c r="B65" s="192" t="s">
        <v>60</v>
      </c>
      <c r="C65" s="129" t="s">
        <v>61</v>
      </c>
      <c r="D65" s="130"/>
      <c r="E65" s="131"/>
      <c r="G65" s="181"/>
      <c r="H65" s="292" t="s">
        <v>13</v>
      </c>
      <c r="I65" s="292"/>
      <c r="J65" s="292"/>
      <c r="K65" s="292"/>
      <c r="L65" s="293"/>
      <c r="M65" s="50"/>
      <c r="P65" s="2" t="s">
        <v>118</v>
      </c>
      <c r="Q65" s="2">
        <f>+Q67-P67</f>
        <v>33.210000000000036</v>
      </c>
      <c r="R65" s="2">
        <v>33.25</v>
      </c>
      <c r="S65" s="2">
        <v>33.25</v>
      </c>
      <c r="T65" s="2">
        <v>33.25</v>
      </c>
      <c r="U65" s="2">
        <v>33.25</v>
      </c>
    </row>
    <row r="66" spans="2:22" ht="6.75" customHeight="1" x14ac:dyDescent="0.2">
      <c r="B66" s="191"/>
      <c r="C66" s="106"/>
      <c r="D66" s="50"/>
      <c r="E66" s="50"/>
      <c r="G66" s="63"/>
      <c r="H66" s="63"/>
      <c r="I66" s="63"/>
      <c r="J66" s="63"/>
      <c r="K66" s="63"/>
      <c r="L66" s="63"/>
      <c r="M66" s="50"/>
    </row>
    <row r="67" spans="2:22" x14ac:dyDescent="0.2">
      <c r="B67" s="172" t="s">
        <v>120</v>
      </c>
      <c r="C67" s="4" t="s">
        <v>62</v>
      </c>
      <c r="D67" s="4"/>
      <c r="E67" s="272" t="s">
        <v>119</v>
      </c>
      <c r="G67" s="182">
        <f t="shared" ref="G67:L67" si="21">P71</f>
        <v>7500</v>
      </c>
      <c r="H67" s="182">
        <f t="shared" si="21"/>
        <v>7898.52</v>
      </c>
      <c r="I67" s="182">
        <f t="shared" si="21"/>
        <v>8297.52</v>
      </c>
      <c r="J67" s="182">
        <f t="shared" si="21"/>
        <v>8696.52</v>
      </c>
      <c r="K67" s="182">
        <f t="shared" si="21"/>
        <v>9095.52</v>
      </c>
      <c r="L67" s="182">
        <f t="shared" si="21"/>
        <v>9494.52</v>
      </c>
      <c r="M67" s="50"/>
      <c r="P67" s="2">
        <v>625</v>
      </c>
      <c r="Q67" s="2">
        <v>658.21</v>
      </c>
      <c r="R67" s="2">
        <f>+R65+Q67</f>
        <v>691.46</v>
      </c>
      <c r="S67" s="2">
        <f>+S65+R67</f>
        <v>724.71</v>
      </c>
      <c r="T67" s="2">
        <f>+T65+S67</f>
        <v>757.96</v>
      </c>
      <c r="U67" s="2">
        <f>+U65+T67</f>
        <v>791.21</v>
      </c>
      <c r="V67" s="5"/>
    </row>
    <row r="68" spans="2:22" ht="6" customHeight="1" x14ac:dyDescent="0.2">
      <c r="B68" s="173"/>
      <c r="C68" s="50"/>
      <c r="D68" s="50"/>
      <c r="E68" s="183"/>
      <c r="G68" s="183"/>
      <c r="H68" s="183"/>
      <c r="I68" s="183"/>
      <c r="J68" s="183"/>
      <c r="K68" s="183"/>
      <c r="L68" s="183"/>
      <c r="M68" s="50"/>
      <c r="Q68" s="5"/>
      <c r="R68" s="5"/>
      <c r="S68" s="5"/>
      <c r="T68" s="5"/>
      <c r="U68" s="5"/>
      <c r="V68" s="5"/>
    </row>
    <row r="69" spans="2:22" x14ac:dyDescent="0.2">
      <c r="B69" s="172" t="s">
        <v>121</v>
      </c>
      <c r="C69" s="185" t="s">
        <v>66</v>
      </c>
      <c r="D69" s="185"/>
      <c r="E69" s="186"/>
      <c r="G69" s="184"/>
      <c r="H69" s="189">
        <f>SUM(H70:H72)</f>
        <v>746496</v>
      </c>
      <c r="I69" s="189">
        <f>SUM(I70:I72)</f>
        <v>746496</v>
      </c>
      <c r="J69" s="189">
        <f>SUM(J70:J72)</f>
        <v>746496</v>
      </c>
      <c r="K69" s="189">
        <f>SUM(K70:K72)</f>
        <v>746496</v>
      </c>
      <c r="L69" s="190">
        <f>SUM(L70:L72)</f>
        <v>746496</v>
      </c>
      <c r="M69" s="50"/>
      <c r="P69" s="180">
        <v>12</v>
      </c>
    </row>
    <row r="70" spans="2:22" x14ac:dyDescent="0.2">
      <c r="B70" s="173"/>
      <c r="C70" s="177" t="s">
        <v>63</v>
      </c>
      <c r="D70" s="134">
        <v>10</v>
      </c>
      <c r="E70" s="150">
        <v>25</v>
      </c>
      <c r="F70" s="51"/>
      <c r="G70" s="134"/>
      <c r="H70" s="187">
        <f>$E$70*($D$70*$AA$17)</f>
        <v>518400</v>
      </c>
      <c r="I70" s="187">
        <f>$E$70*($D$70*$AA$17)</f>
        <v>518400</v>
      </c>
      <c r="J70" s="187">
        <f>$E$70*($D$70*$AA$17)</f>
        <v>518400</v>
      </c>
      <c r="K70" s="187">
        <f>$E$70*($D$70*$AA$17)</f>
        <v>518400</v>
      </c>
      <c r="L70" s="187">
        <f>$E$70*($D$70*$AA$17)</f>
        <v>518400</v>
      </c>
      <c r="M70" s="50"/>
    </row>
    <row r="71" spans="2:22" x14ac:dyDescent="0.2">
      <c r="B71" s="173"/>
      <c r="C71" s="178" t="s">
        <v>64</v>
      </c>
      <c r="D71" s="135">
        <v>2</v>
      </c>
      <c r="E71" s="152">
        <v>20</v>
      </c>
      <c r="F71" s="51"/>
      <c r="G71" s="135"/>
      <c r="H71" s="188">
        <f>$E$71*($D$71*$AA$17)</f>
        <v>82944</v>
      </c>
      <c r="I71" s="188">
        <f>$E$71*($D$71*$AA$17)</f>
        <v>82944</v>
      </c>
      <c r="J71" s="188">
        <f>$E$71*($D$71*$AA$17)</f>
        <v>82944</v>
      </c>
      <c r="K71" s="188">
        <f>$E$71*($D$71*$AA$17)</f>
        <v>82944</v>
      </c>
      <c r="L71" s="188">
        <f>$E$71*($D$71*$AA$17)</f>
        <v>82944</v>
      </c>
      <c r="M71" s="50"/>
      <c r="P71" s="256">
        <f t="shared" ref="P71:U71" si="22">P67*$P$69</f>
        <v>7500</v>
      </c>
      <c r="Q71" s="256">
        <f t="shared" si="22"/>
        <v>7898.52</v>
      </c>
      <c r="R71" s="256">
        <f t="shared" si="22"/>
        <v>8297.52</v>
      </c>
      <c r="S71" s="256">
        <f t="shared" si="22"/>
        <v>8696.52</v>
      </c>
      <c r="T71" s="256">
        <f t="shared" si="22"/>
        <v>9095.52</v>
      </c>
      <c r="U71" s="256">
        <f t="shared" si="22"/>
        <v>9494.52</v>
      </c>
    </row>
    <row r="72" spans="2:22" x14ac:dyDescent="0.2">
      <c r="B72" s="174"/>
      <c r="C72" s="178" t="s">
        <v>65</v>
      </c>
      <c r="D72" s="135">
        <v>2</v>
      </c>
      <c r="E72" s="152">
        <v>35</v>
      </c>
      <c r="F72" s="51"/>
      <c r="G72" s="135"/>
      <c r="H72" s="188">
        <f>$E$72*($D$72*$AA$17)</f>
        <v>145152</v>
      </c>
      <c r="I72" s="188">
        <f>$E$72*($D$72*$AA$17)</f>
        <v>145152</v>
      </c>
      <c r="J72" s="188">
        <f>$E$72*($D$72*$AA$17)</f>
        <v>145152</v>
      </c>
      <c r="K72" s="188">
        <f>$E$72*($D$72*$AA$17)</f>
        <v>145152</v>
      </c>
      <c r="L72" s="188">
        <f>$E$72*($D$72*$AA$17)</f>
        <v>145152</v>
      </c>
      <c r="M72" s="50"/>
    </row>
    <row r="74" spans="2:22" ht="13.5" thickBot="1" x14ac:dyDescent="0.25"/>
    <row r="75" spans="2:22" ht="16.5" customHeight="1" thickBot="1" x14ac:dyDescent="0.3">
      <c r="B75" s="294" t="s">
        <v>14</v>
      </c>
      <c r="C75" s="295"/>
      <c r="D75" s="295"/>
      <c r="E75" s="296"/>
      <c r="F75" s="193">
        <f>-SUM(F52,F60,F67,F73)</f>
        <v>0</v>
      </c>
      <c r="G75" s="197">
        <f>-SUM(G17,G22,G28,G35,G43,G49,G54,G57,G67)</f>
        <v>-1059618</v>
      </c>
    </row>
    <row r="76" spans="2:22" x14ac:dyDescent="0.2">
      <c r="C76" s="10"/>
      <c r="D76" s="11"/>
      <c r="E76" s="12"/>
      <c r="F76" s="13"/>
      <c r="G76" s="14"/>
      <c r="H76" s="15"/>
      <c r="I76" s="15"/>
      <c r="J76" s="15"/>
      <c r="K76" s="15"/>
    </row>
    <row r="77" spans="2:22" ht="15.75" customHeight="1" x14ac:dyDescent="0.2">
      <c r="B77" s="297" t="s">
        <v>17</v>
      </c>
      <c r="C77" s="297"/>
      <c r="D77" s="297"/>
      <c r="E77" s="297"/>
      <c r="F77" s="2"/>
      <c r="G77" s="16">
        <f>Montecarlo_Simulation!H16</f>
        <v>868800</v>
      </c>
      <c r="H77" s="16">
        <f ca="1">Montecarlo_Simulation!I16</f>
        <v>1437226.9210468673</v>
      </c>
      <c r="I77" s="16">
        <f ca="1">Montecarlo_Simulation!J16</f>
        <v>1849379.0045638371</v>
      </c>
      <c r="J77" s="16">
        <f ca="1">Montecarlo_Simulation!K16</f>
        <v>1888237.7739234611</v>
      </c>
      <c r="K77" s="16">
        <f ca="1">Montecarlo_Simulation!L16</f>
        <v>2299464.9242180334</v>
      </c>
      <c r="L77" s="16">
        <f ca="1">Montecarlo_Simulation!M16</f>
        <v>3053586.6125515993</v>
      </c>
    </row>
    <row r="78" spans="2:22" ht="5.0999999999999996" customHeight="1" x14ac:dyDescent="0.2">
      <c r="C78" s="10"/>
      <c r="D78" s="11"/>
      <c r="E78" s="12"/>
      <c r="F78" s="13"/>
      <c r="G78" s="14"/>
      <c r="H78" s="15"/>
      <c r="I78" s="15"/>
      <c r="J78" s="15"/>
      <c r="K78" s="15"/>
    </row>
    <row r="79" spans="2:22" ht="15.75" customHeight="1" x14ac:dyDescent="0.2">
      <c r="B79" s="298" t="s">
        <v>19</v>
      </c>
      <c r="C79" s="298"/>
      <c r="D79" s="298"/>
      <c r="E79" s="298"/>
      <c r="F79" s="2"/>
      <c r="G79" s="19">
        <f t="shared" ref="G79:L79" si="23">-SUM(G17,G22,G28,G35,G43,G49,G54,G57,G67,G69)</f>
        <v>-1059618</v>
      </c>
      <c r="H79" s="19">
        <f t="shared" si="23"/>
        <v>-1627046.52</v>
      </c>
      <c r="I79" s="19">
        <f t="shared" si="23"/>
        <v>-1627445.52</v>
      </c>
      <c r="J79" s="19">
        <f t="shared" si="23"/>
        <v>-1627844.52</v>
      </c>
      <c r="K79" s="19">
        <f t="shared" si="23"/>
        <v>-1628243.52</v>
      </c>
      <c r="L79" s="19">
        <f t="shared" si="23"/>
        <v>-1628642.52</v>
      </c>
    </row>
    <row r="80" spans="2:22" ht="5.0999999999999996" customHeight="1" x14ac:dyDescent="0.2">
      <c r="C80" s="10"/>
      <c r="D80" s="11"/>
      <c r="E80" s="12"/>
      <c r="F80" s="13"/>
      <c r="G80" s="14"/>
      <c r="H80" s="15"/>
      <c r="I80" s="15"/>
      <c r="J80" s="15"/>
      <c r="K80" s="15"/>
    </row>
    <row r="81" spans="2:12" ht="15.75" customHeight="1" x14ac:dyDescent="0.2">
      <c r="B81" s="299" t="s">
        <v>18</v>
      </c>
      <c r="C81" s="300"/>
      <c r="D81" s="300"/>
      <c r="E81" s="301"/>
      <c r="F81" s="2"/>
      <c r="G81" s="194">
        <f>G77</f>
        <v>868800</v>
      </c>
      <c r="H81" s="17">
        <f ca="1">H77+H79</f>
        <v>-189819.59895313275</v>
      </c>
      <c r="I81" s="17">
        <f ca="1">I77+I79</f>
        <v>221933.48456383706</v>
      </c>
      <c r="J81" s="17">
        <f ca="1">J77+J79</f>
        <v>260393.25392346107</v>
      </c>
      <c r="K81" s="17">
        <f ca="1">K77+K79</f>
        <v>671221.40421803342</v>
      </c>
      <c r="L81" s="18">
        <f ca="1">L77+L79</f>
        <v>1424944.0925515993</v>
      </c>
    </row>
    <row r="82" spans="2:12" ht="5.0999999999999996" customHeight="1" x14ac:dyDescent="0.2">
      <c r="F82" s="2"/>
    </row>
    <row r="83" spans="2:12" ht="15.75" customHeight="1" x14ac:dyDescent="0.2">
      <c r="B83" s="302" t="s">
        <v>123</v>
      </c>
      <c r="C83" s="303"/>
      <c r="D83" s="303"/>
      <c r="E83" s="304"/>
      <c r="F83" s="2"/>
      <c r="G83" s="195">
        <f>G77+G75</f>
        <v>-190818</v>
      </c>
      <c r="H83" s="17">
        <f ca="1">H77+H79</f>
        <v>-189819.59895313275</v>
      </c>
      <c r="I83" s="17">
        <f ca="1">I77+I79</f>
        <v>221933.48456383706</v>
      </c>
      <c r="J83" s="17">
        <f ca="1">J77+J79</f>
        <v>260393.25392346107</v>
      </c>
      <c r="K83" s="17">
        <f ca="1">K77+K79</f>
        <v>671221.40421803342</v>
      </c>
      <c r="L83" s="18">
        <f ca="1">L77+L79</f>
        <v>1424944.0925515993</v>
      </c>
    </row>
    <row r="84" spans="2:12" x14ac:dyDescent="0.2">
      <c r="F84" s="3"/>
      <c r="G84" s="5"/>
      <c r="H84" s="5"/>
      <c r="I84" s="5"/>
      <c r="J84" s="5"/>
      <c r="K84" s="5"/>
    </row>
    <row r="85" spans="2:12" ht="19.5" x14ac:dyDescent="0.3">
      <c r="B85" s="285" t="s">
        <v>124</v>
      </c>
      <c r="C85" s="285"/>
      <c r="D85" s="285"/>
      <c r="E85" s="285"/>
      <c r="F85" s="285"/>
      <c r="G85" s="285"/>
      <c r="H85" s="285"/>
      <c r="I85" s="285"/>
      <c r="J85" s="285"/>
      <c r="K85" s="285"/>
      <c r="L85" s="285"/>
    </row>
    <row r="87" spans="2:12" ht="16.5" x14ac:dyDescent="0.3">
      <c r="B87" s="215" t="s">
        <v>131</v>
      </c>
      <c r="C87" s="199" t="s">
        <v>125</v>
      </c>
      <c r="D87" s="200">
        <f ca="1">(((ABS(G75)-SUM(G81:K81))/L81)+4)</f>
        <v>3.4575853552484475</v>
      </c>
      <c r="G87" s="122"/>
      <c r="H87" s="208"/>
      <c r="I87" s="122"/>
      <c r="K87" s="201" t="s">
        <v>16</v>
      </c>
      <c r="L87" s="202">
        <v>0.05</v>
      </c>
    </row>
    <row r="88" spans="2:12" ht="5.0999999999999996" customHeight="1" x14ac:dyDescent="0.2">
      <c r="B88" s="198"/>
      <c r="G88" s="209"/>
      <c r="H88" s="207"/>
      <c r="I88" s="207"/>
      <c r="L88" s="3"/>
    </row>
    <row r="89" spans="2:12" ht="16.5" x14ac:dyDescent="0.3">
      <c r="B89" s="215" t="s">
        <v>132</v>
      </c>
      <c r="C89" s="199" t="s">
        <v>127</v>
      </c>
      <c r="D89" s="211">
        <f ca="1">((SUM(G77:L77)+SUM(G79:L79)+G75))/(-G75*6)</f>
        <v>0.17903254385130604</v>
      </c>
      <c r="G89" s="209"/>
      <c r="H89" s="207"/>
      <c r="I89" s="210"/>
      <c r="K89" s="203" t="s">
        <v>126</v>
      </c>
      <c r="L89" s="204">
        <f ca="1">SUM(G77:L77)</f>
        <v>11396695.236303799</v>
      </c>
    </row>
    <row r="90" spans="2:12" ht="5.0999999999999996" customHeight="1" x14ac:dyDescent="0.2">
      <c r="B90" s="198"/>
      <c r="G90" s="209"/>
      <c r="H90" s="207"/>
      <c r="I90" s="210"/>
    </row>
    <row r="91" spans="2:12" ht="16.5" x14ac:dyDescent="0.3">
      <c r="B91" s="215" t="s">
        <v>133</v>
      </c>
      <c r="C91" s="199" t="s">
        <v>128</v>
      </c>
      <c r="D91" s="200">
        <f ca="1">L89/L91</f>
        <v>1.2389273531170655</v>
      </c>
      <c r="G91" s="209"/>
      <c r="H91" s="207"/>
      <c r="I91" s="210"/>
      <c r="K91" s="205" t="s">
        <v>122</v>
      </c>
      <c r="L91" s="206">
        <f>ABS(SUM(G79:L79))</f>
        <v>9198840.5999999996</v>
      </c>
    </row>
    <row r="92" spans="2:12" ht="5.0999999999999996" customHeight="1" x14ac:dyDescent="0.2">
      <c r="B92" s="198"/>
      <c r="G92" s="209"/>
      <c r="H92" s="207"/>
      <c r="I92" s="210"/>
    </row>
    <row r="93" spans="2:12" ht="16.5" x14ac:dyDescent="0.3">
      <c r="B93" s="215" t="s">
        <v>134</v>
      </c>
      <c r="C93" s="199" t="s">
        <v>15</v>
      </c>
      <c r="D93" s="196">
        <f ca="1">NPV(L87,G81:L81)+G75</f>
        <v>1590814.0172572271</v>
      </c>
      <c r="G93" s="209"/>
      <c r="H93" s="207"/>
      <c r="I93" s="273"/>
    </row>
    <row r="94" spans="2:12" ht="5.0999999999999996" customHeight="1" x14ac:dyDescent="0.2">
      <c r="B94" s="198"/>
      <c r="G94" s="209"/>
      <c r="H94" s="207"/>
      <c r="I94" s="210"/>
    </row>
    <row r="95" spans="2:12" ht="16.5" x14ac:dyDescent="0.3">
      <c r="B95" s="215" t="s">
        <v>135</v>
      </c>
      <c r="C95" s="199" t="s">
        <v>129</v>
      </c>
      <c r="D95" s="212">
        <f ca="1">(NPV(L87,G81:L81))/ABS(G75)</f>
        <v>2.501308978572681</v>
      </c>
      <c r="G95" s="209"/>
      <c r="H95" s="207"/>
      <c r="I95" s="210"/>
    </row>
    <row r="96" spans="2:12" ht="5.0999999999999996" customHeight="1" x14ac:dyDescent="0.3">
      <c r="B96" s="216"/>
      <c r="C96" s="213"/>
      <c r="D96" s="213"/>
    </row>
    <row r="97" spans="2:12" ht="16.5" x14ac:dyDescent="0.3">
      <c r="B97" s="215" t="s">
        <v>136</v>
      </c>
      <c r="C97" s="199" t="s">
        <v>130</v>
      </c>
      <c r="D97" s="214">
        <f ca="1">IRR(G83:L83)</f>
        <v>0.7136364477702466</v>
      </c>
    </row>
    <row r="98" spans="2:12" s="217" customFormat="1" ht="5.25" customHeight="1" thickBot="1" x14ac:dyDescent="0.25">
      <c r="B98" s="218"/>
      <c r="C98" s="218"/>
      <c r="D98" s="218"/>
      <c r="E98" s="218"/>
      <c r="F98" s="218"/>
      <c r="G98" s="218"/>
      <c r="H98" s="218"/>
      <c r="I98" s="218"/>
      <c r="J98" s="218"/>
      <c r="K98" s="218"/>
      <c r="L98" s="218"/>
    </row>
    <row r="99" spans="2:12" ht="13.5" thickTop="1" x14ac:dyDescent="0.2"/>
    <row r="100" spans="2:12" ht="15.75" x14ac:dyDescent="0.25">
      <c r="F100" s="2"/>
      <c r="I100" s="24"/>
      <c r="J100" s="24"/>
      <c r="K100" s="24"/>
    </row>
  </sheetData>
  <mergeCells count="11">
    <mergeCell ref="B85:L85"/>
    <mergeCell ref="H15:L15"/>
    <mergeCell ref="H47:L47"/>
    <mergeCell ref="B13:E13"/>
    <mergeCell ref="B2:C2"/>
    <mergeCell ref="H65:L65"/>
    <mergeCell ref="B75:E75"/>
    <mergeCell ref="B77:E77"/>
    <mergeCell ref="B79:E79"/>
    <mergeCell ref="B81:E81"/>
    <mergeCell ref="B83:E83"/>
  </mergeCells>
  <pageMargins left="0.7" right="0.7" top="0.75" bottom="0.75" header="0.3" footer="0.3"/>
  <pageSetup scale="53" orientation="portrait" horizontalDpi="200" verticalDpi="200" r:id="rId1"/>
  <colBreaks count="1" manualBreakCount="1">
    <brk id="14" max="63" man="1"/>
  </colBreaks>
  <ignoredErrors>
    <ignoredError sqref="G36:G41 G25" formula="1"/>
    <ignoredError sqref="B88 B90 B92 B94 B96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-0.249977111117893"/>
  </sheetPr>
  <dimension ref="B2:Q1041"/>
  <sheetViews>
    <sheetView showGridLines="0" showRowColHeaders="0" zoomScale="85" zoomScaleNormal="85" workbookViewId="0">
      <pane ySplit="3" topLeftCell="A4" activePane="bottomLeft" state="frozen"/>
      <selection pane="bottomLeft" activeCell="H14" sqref="H14"/>
    </sheetView>
  </sheetViews>
  <sheetFormatPr baseColWidth="10" defaultRowHeight="15.75" x14ac:dyDescent="0.25"/>
  <cols>
    <col min="1" max="1" width="11" style="24"/>
    <col min="2" max="2" width="4.125" style="24" customWidth="1"/>
    <col min="3" max="3" width="4.875" style="24" customWidth="1"/>
    <col min="4" max="4" width="34.125" style="24" customWidth="1"/>
    <col min="5" max="5" width="12.625" style="24" customWidth="1"/>
    <col min="6" max="6" width="11" style="24"/>
    <col min="7" max="7" width="2.375" style="24" customWidth="1"/>
    <col min="8" max="8" width="12.375" style="24" customWidth="1"/>
    <col min="9" max="10" width="11.125" style="24" bestFit="1" customWidth="1"/>
    <col min="11" max="11" width="11.5" style="24" bestFit="1" customWidth="1"/>
    <col min="12" max="12" width="13" style="24" bestFit="1" customWidth="1"/>
    <col min="13" max="13" width="11.5" style="24" bestFit="1" customWidth="1"/>
    <col min="14" max="14" width="12.375" style="24" customWidth="1"/>
    <col min="15" max="15" width="11.375" style="24" customWidth="1"/>
    <col min="16" max="20" width="11" style="24"/>
    <col min="21" max="21" width="0" style="24" hidden="1" customWidth="1"/>
    <col min="22" max="16384" width="11" style="24"/>
  </cols>
  <sheetData>
    <row r="2" spans="2:17" ht="32.25" thickBot="1" x14ac:dyDescent="0.5">
      <c r="B2" s="250"/>
      <c r="C2" s="251" t="s">
        <v>30</v>
      </c>
      <c r="D2" s="252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</row>
    <row r="3" spans="2:17" ht="15" customHeight="1" thickBot="1" x14ac:dyDescent="0.4">
      <c r="B3" s="228"/>
      <c r="C3" s="229"/>
      <c r="D3" s="230"/>
      <c r="E3" s="229"/>
      <c r="F3" s="229"/>
      <c r="G3" s="229"/>
      <c r="H3" s="230"/>
      <c r="I3" s="229"/>
      <c r="J3" s="229"/>
      <c r="K3" s="229"/>
      <c r="L3" s="229"/>
      <c r="M3" s="229"/>
      <c r="N3" s="229"/>
      <c r="O3" s="231"/>
    </row>
    <row r="4" spans="2:17" ht="17.25" thickBot="1" x14ac:dyDescent="0.3">
      <c r="B4" s="232"/>
      <c r="C4" s="294" t="s">
        <v>14</v>
      </c>
      <c r="D4" s="295"/>
      <c r="E4" s="295"/>
      <c r="F4" s="296"/>
      <c r="G4" s="233"/>
      <c r="H4" s="197">
        <f>NCF!G75</f>
        <v>-1059618</v>
      </c>
      <c r="I4" s="223"/>
      <c r="J4" s="223"/>
      <c r="K4" s="223"/>
      <c r="L4" s="223"/>
      <c r="M4" s="223"/>
      <c r="N4" s="223"/>
      <c r="O4" s="234"/>
    </row>
    <row r="5" spans="2:17" ht="14.25" customHeight="1" x14ac:dyDescent="0.35">
      <c r="B5" s="232"/>
      <c r="C5" s="223"/>
      <c r="D5" s="235"/>
      <c r="E5" s="223"/>
      <c r="F5" s="223"/>
      <c r="G5" s="223"/>
      <c r="H5" s="235"/>
      <c r="I5" s="223"/>
      <c r="J5" s="223"/>
      <c r="K5" s="223"/>
      <c r="L5" s="223"/>
      <c r="M5" s="223"/>
      <c r="N5" s="223"/>
      <c r="O5" s="234"/>
    </row>
    <row r="6" spans="2:17" ht="21.75" customHeight="1" x14ac:dyDescent="0.25">
      <c r="B6" s="232"/>
      <c r="C6" s="291" t="s">
        <v>0</v>
      </c>
      <c r="D6" s="291"/>
      <c r="E6" s="179" t="s">
        <v>1</v>
      </c>
      <c r="F6" s="179" t="s">
        <v>2</v>
      </c>
      <c r="G6" s="62"/>
      <c r="H6" s="179" t="s">
        <v>7</v>
      </c>
      <c r="I6" s="179" t="s">
        <v>6</v>
      </c>
      <c r="J6" s="179" t="s">
        <v>8</v>
      </c>
      <c r="K6" s="179" t="s">
        <v>9</v>
      </c>
      <c r="L6" s="179" t="s">
        <v>11</v>
      </c>
      <c r="M6" s="179" t="s">
        <v>10</v>
      </c>
      <c r="N6" s="223"/>
      <c r="O6" s="234"/>
    </row>
    <row r="7" spans="2:17" ht="10.5" customHeight="1" thickBot="1" x14ac:dyDescent="0.3">
      <c r="B7" s="232"/>
      <c r="C7" s="236"/>
      <c r="D7" s="39"/>
      <c r="E7" s="39"/>
      <c r="F7" s="39"/>
      <c r="G7" s="50"/>
      <c r="H7" s="39"/>
      <c r="I7" s="39"/>
      <c r="J7" s="39"/>
      <c r="K7" s="39"/>
      <c r="L7" s="39"/>
      <c r="M7" s="39"/>
      <c r="N7" s="223"/>
      <c r="O7" s="234"/>
    </row>
    <row r="8" spans="2:17" x14ac:dyDescent="0.25">
      <c r="B8" s="232"/>
      <c r="C8" s="236"/>
      <c r="D8" s="71" t="s">
        <v>32</v>
      </c>
      <c r="E8" s="72"/>
      <c r="F8" s="73"/>
      <c r="G8" s="50"/>
      <c r="H8" s="74"/>
      <c r="I8" s="72"/>
      <c r="J8" s="72"/>
      <c r="K8" s="72"/>
      <c r="L8" s="72"/>
      <c r="M8" s="73"/>
      <c r="N8" s="223"/>
      <c r="O8" s="234"/>
    </row>
    <row r="9" spans="2:17" x14ac:dyDescent="0.25">
      <c r="B9" s="232"/>
      <c r="C9" s="236"/>
      <c r="D9" s="45" t="s">
        <v>160</v>
      </c>
      <c r="E9" s="7"/>
      <c r="F9" s="8"/>
      <c r="G9" s="50"/>
      <c r="H9" s="75">
        <f>NCF!G5</f>
        <v>144800</v>
      </c>
      <c r="I9" s="76">
        <f ca="1">NORMINV(RAND(),NCF!H5,10%*NCF!H5)</f>
        <v>179653.36513085841</v>
      </c>
      <c r="J9" s="76">
        <f ca="1">NORMINV(RAND(),NCF!I5,10%*NCF!I5)</f>
        <v>231172.37557047963</v>
      </c>
      <c r="K9" s="76">
        <f ca="1">NORMINV(RAND(),NCF!J5,10%*NCF!J5)</f>
        <v>236029.72174043264</v>
      </c>
      <c r="L9" s="76">
        <f ca="1">NORMINV(RAND(),NCF!K5,10%*NCF!K5)</f>
        <v>328494.98917400482</v>
      </c>
      <c r="M9" s="76">
        <f ca="1">NORMINV(RAND(),NCF!L5,10%*NCF!L5)</f>
        <v>381698.32656894991</v>
      </c>
      <c r="N9" s="223"/>
      <c r="O9" s="234"/>
      <c r="Q9" s="258"/>
    </row>
    <row r="10" spans="2:17" x14ac:dyDescent="0.25">
      <c r="B10" s="232"/>
      <c r="C10" s="236"/>
      <c r="D10" s="43"/>
      <c r="E10" s="39"/>
      <c r="F10" s="283">
        <f>NCF!E6</f>
        <v>6</v>
      </c>
      <c r="G10" s="50"/>
      <c r="H10" s="82">
        <f t="shared" ref="H10:M10" si="0">$F$10*H9</f>
        <v>868800</v>
      </c>
      <c r="I10" s="82">
        <f t="shared" ca="1" si="0"/>
        <v>1077920.1907851505</v>
      </c>
      <c r="J10" s="82">
        <f t="shared" ca="1" si="0"/>
        <v>1387034.2534228778</v>
      </c>
      <c r="K10" s="82">
        <f t="shared" ca="1" si="0"/>
        <v>1416178.3304425958</v>
      </c>
      <c r="L10" s="82">
        <f t="shared" ca="1" si="0"/>
        <v>1970969.9350440288</v>
      </c>
      <c r="M10" s="82">
        <f t="shared" ca="1" si="0"/>
        <v>2290189.9594136993</v>
      </c>
      <c r="N10" s="223"/>
      <c r="O10" s="234"/>
    </row>
    <row r="11" spans="2:17" x14ac:dyDescent="0.25">
      <c r="B11" s="232"/>
      <c r="C11" s="236"/>
      <c r="D11" s="44"/>
      <c r="E11" s="87"/>
      <c r="F11" s="41"/>
      <c r="G11" s="50"/>
      <c r="N11" s="223"/>
      <c r="O11" s="234"/>
    </row>
    <row r="12" spans="2:17" ht="7.5" customHeight="1" thickBot="1" x14ac:dyDescent="0.3">
      <c r="B12" s="232"/>
      <c r="C12" s="236"/>
      <c r="D12" s="39"/>
      <c r="E12" s="39"/>
      <c r="F12" s="39"/>
      <c r="G12" s="50"/>
      <c r="H12" s="237"/>
      <c r="I12" s="39"/>
      <c r="J12" s="39"/>
      <c r="K12" s="39"/>
      <c r="L12" s="39"/>
      <c r="M12" s="39"/>
      <c r="N12" s="223"/>
      <c r="O12" s="234"/>
    </row>
    <row r="13" spans="2:17" x14ac:dyDescent="0.25">
      <c r="B13" s="232"/>
      <c r="C13" s="236"/>
      <c r="D13" s="71" t="s">
        <v>31</v>
      </c>
      <c r="E13" s="221" t="s">
        <v>137</v>
      </c>
      <c r="F13" s="222" t="s">
        <v>138</v>
      </c>
      <c r="G13" s="50"/>
      <c r="H13" s="79"/>
      <c r="I13" s="80"/>
      <c r="J13" s="80"/>
      <c r="K13" s="80"/>
      <c r="L13" s="80"/>
      <c r="M13" s="81"/>
      <c r="N13" s="223"/>
      <c r="O13" s="234"/>
    </row>
    <row r="14" spans="2:17" x14ac:dyDescent="0.25">
      <c r="B14" s="232"/>
      <c r="C14" s="236"/>
      <c r="D14" s="78" t="s">
        <v>34</v>
      </c>
      <c r="E14" s="77">
        <v>0.5</v>
      </c>
      <c r="F14" s="77">
        <v>2.5</v>
      </c>
      <c r="G14" s="51"/>
      <c r="H14" s="78"/>
      <c r="I14" s="82">
        <f ca="1">RANDBETWEEN($E$14,$F$14)*I9</f>
        <v>359306.73026171682</v>
      </c>
      <c r="J14" s="82">
        <f ca="1">RANDBETWEEN($E$14,$F$14)*J9</f>
        <v>462344.75114095927</v>
      </c>
      <c r="K14" s="82">
        <f ca="1">RANDBETWEEN($E$14,$F$14)*K9</f>
        <v>472059.44348086527</v>
      </c>
      <c r="L14" s="82">
        <f ca="1">RANDBETWEEN($E$14,$F$14)*L9</f>
        <v>328494.98917400482</v>
      </c>
      <c r="M14" s="82">
        <f ca="1">RANDBETWEEN($E$14,$F$14)*M9</f>
        <v>763396.65313789982</v>
      </c>
      <c r="N14" s="223"/>
      <c r="O14" s="234"/>
    </row>
    <row r="15" spans="2:17" ht="9" customHeight="1" x14ac:dyDescent="0.25">
      <c r="B15" s="232"/>
      <c r="C15" s="236"/>
      <c r="D15" s="39"/>
      <c r="E15" s="39"/>
      <c r="F15" s="39"/>
      <c r="G15" s="50"/>
      <c r="H15" s="39"/>
      <c r="I15" s="39"/>
      <c r="J15" s="39"/>
      <c r="K15" s="39"/>
      <c r="L15" s="39"/>
      <c r="M15" s="39"/>
      <c r="N15" s="223"/>
      <c r="O15" s="234"/>
    </row>
    <row r="16" spans="2:17" ht="16.5" x14ac:dyDescent="0.3">
      <c r="B16" s="232"/>
      <c r="C16" s="305" t="s">
        <v>12</v>
      </c>
      <c r="D16" s="305"/>
      <c r="E16" s="305"/>
      <c r="F16" s="305"/>
      <c r="G16" s="65"/>
      <c r="H16" s="238">
        <f t="shared" ref="H16:M16" si="1">H10+H14</f>
        <v>868800</v>
      </c>
      <c r="I16" s="238">
        <f t="shared" ca="1" si="1"/>
        <v>1437226.9210468673</v>
      </c>
      <c r="J16" s="238">
        <f t="shared" ca="1" si="1"/>
        <v>1849379.0045638371</v>
      </c>
      <c r="K16" s="238">
        <f t="shared" ca="1" si="1"/>
        <v>1888237.7739234611</v>
      </c>
      <c r="L16" s="238">
        <f t="shared" ca="1" si="1"/>
        <v>2299464.9242180334</v>
      </c>
      <c r="M16" s="238">
        <f t="shared" ca="1" si="1"/>
        <v>3053586.6125515993</v>
      </c>
      <c r="N16" s="223"/>
      <c r="O16" s="234"/>
    </row>
    <row r="17" spans="2:15" ht="7.5" customHeight="1" x14ac:dyDescent="0.3">
      <c r="B17" s="232"/>
      <c r="C17" s="239"/>
      <c r="D17" s="239"/>
      <c r="E17" s="239"/>
      <c r="F17" s="239"/>
      <c r="G17" s="65"/>
      <c r="H17" s="240"/>
      <c r="I17" s="240"/>
      <c r="J17" s="240"/>
      <c r="K17" s="240"/>
      <c r="L17" s="240"/>
      <c r="M17" s="240"/>
      <c r="N17" s="223"/>
      <c r="O17" s="234"/>
    </row>
    <row r="18" spans="2:15" x14ac:dyDescent="0.25">
      <c r="B18" s="232"/>
      <c r="C18" s="224" t="s">
        <v>19</v>
      </c>
      <c r="D18" s="225"/>
      <c r="E18" s="226"/>
      <c r="F18" s="241"/>
      <c r="G18" s="223"/>
      <c r="H18" s="19">
        <f>NCF!G79</f>
        <v>-1059618</v>
      </c>
      <c r="I18" s="19">
        <f>NCF!H79</f>
        <v>-1627046.52</v>
      </c>
      <c r="J18" s="19">
        <f>NCF!I79</f>
        <v>-1627445.52</v>
      </c>
      <c r="K18" s="19">
        <f>NCF!J79</f>
        <v>-1627844.52</v>
      </c>
      <c r="L18" s="19">
        <f>NCF!K79</f>
        <v>-1628243.52</v>
      </c>
      <c r="M18" s="19">
        <f>NCF!L79</f>
        <v>-1628642.52</v>
      </c>
      <c r="N18" s="223"/>
      <c r="O18" s="234"/>
    </row>
    <row r="19" spans="2:15" x14ac:dyDescent="0.25">
      <c r="B19" s="232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34"/>
    </row>
    <row r="20" spans="2:15" ht="5.0999999999999996" customHeight="1" x14ac:dyDescent="0.25">
      <c r="B20" s="232"/>
      <c r="C20" s="223"/>
      <c r="D20" s="10"/>
      <c r="E20" s="11"/>
      <c r="F20" s="12"/>
      <c r="G20" s="223"/>
      <c r="H20" s="242"/>
      <c r="I20" s="243"/>
      <c r="J20" s="50"/>
      <c r="K20" s="50"/>
      <c r="L20" s="50"/>
      <c r="M20" s="50"/>
      <c r="N20" s="223"/>
      <c r="O20" s="234"/>
    </row>
    <row r="21" spans="2:15" ht="19.5" x14ac:dyDescent="0.3">
      <c r="B21" s="232"/>
      <c r="C21" s="223"/>
      <c r="D21" s="20" t="s">
        <v>20</v>
      </c>
      <c r="E21" s="21"/>
      <c r="F21" s="21"/>
      <c r="G21" s="223"/>
      <c r="H21" s="244"/>
      <c r="I21" s="244"/>
      <c r="J21" s="244"/>
      <c r="K21" s="244"/>
      <c r="L21" s="244"/>
      <c r="M21" s="244"/>
      <c r="N21" s="223"/>
      <c r="O21" s="234"/>
    </row>
    <row r="22" spans="2:15" ht="16.5" x14ac:dyDescent="0.3">
      <c r="B22" s="232"/>
      <c r="C22" s="223"/>
      <c r="D22" s="245" t="s">
        <v>15</v>
      </c>
      <c r="E22" s="246">
        <f ca="1">NCF!D93</f>
        <v>1590814.0172572271</v>
      </c>
      <c r="F22" s="254" t="s">
        <v>140</v>
      </c>
      <c r="G22" s="219"/>
      <c r="H22" s="219"/>
      <c r="I22" s="219"/>
      <c r="J22" s="219"/>
      <c r="K22" s="223"/>
      <c r="L22" s="223"/>
      <c r="M22" s="223"/>
      <c r="N22" s="223"/>
      <c r="O22" s="234"/>
    </row>
    <row r="23" spans="2:15" ht="16.5" x14ac:dyDescent="0.3">
      <c r="B23" s="232"/>
      <c r="C23" s="223"/>
      <c r="D23" s="22" t="s">
        <v>16</v>
      </c>
      <c r="E23" s="23">
        <v>0.05</v>
      </c>
      <c r="F23" s="253"/>
      <c r="G23" s="220"/>
      <c r="H23" s="219"/>
      <c r="I23" s="219"/>
      <c r="J23" s="219"/>
      <c r="K23" s="223"/>
      <c r="L23" s="223"/>
      <c r="M23" s="223"/>
      <c r="N23" s="223"/>
      <c r="O23" s="234"/>
    </row>
    <row r="24" spans="2:15" x14ac:dyDescent="0.25">
      <c r="B24" s="232"/>
      <c r="C24" s="223"/>
      <c r="D24" s="223"/>
      <c r="E24" s="223"/>
      <c r="F24" s="223"/>
      <c r="G24" s="227"/>
      <c r="H24" s="227"/>
      <c r="I24" s="227"/>
      <c r="J24" s="227"/>
      <c r="K24" s="223"/>
      <c r="L24" s="223"/>
      <c r="M24" s="223"/>
      <c r="N24" s="223"/>
      <c r="O24" s="234"/>
    </row>
    <row r="25" spans="2:15" x14ac:dyDescent="0.25">
      <c r="B25" s="232"/>
      <c r="C25" s="223"/>
      <c r="D25" s="25" t="s">
        <v>21</v>
      </c>
      <c r="E25" s="26" t="s">
        <v>139</v>
      </c>
      <c r="F25" s="27"/>
      <c r="G25" s="27"/>
      <c r="H25" s="28"/>
      <c r="I25" s="27"/>
      <c r="J25" s="223"/>
      <c r="K25" s="223"/>
      <c r="L25" s="223"/>
      <c r="M25" s="223"/>
      <c r="N25" s="223"/>
      <c r="O25" s="234"/>
    </row>
    <row r="26" spans="2:15" ht="16.5" thickBot="1" x14ac:dyDescent="0.3">
      <c r="B26" s="247"/>
      <c r="C26" s="248"/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9"/>
    </row>
    <row r="29" spans="2:15" ht="24.75" customHeight="1" x14ac:dyDescent="0.3">
      <c r="E29" s="20" t="s">
        <v>22</v>
      </c>
      <c r="F29" s="21"/>
      <c r="H29" s="21"/>
      <c r="I29" s="21"/>
      <c r="J29" s="21"/>
      <c r="K29" s="21"/>
      <c r="L29" s="29" t="s">
        <v>23</v>
      </c>
      <c r="M29" s="30"/>
      <c r="N29" s="29">
        <v>1000</v>
      </c>
    </row>
    <row r="30" spans="2:15" ht="17.25" thickBot="1" x14ac:dyDescent="0.3">
      <c r="E30" s="31" t="s">
        <v>24</v>
      </c>
      <c r="F30" s="31"/>
      <c r="H30" s="32" t="s">
        <v>26</v>
      </c>
      <c r="I30" s="32" t="s">
        <v>25</v>
      </c>
      <c r="J30" s="32" t="s">
        <v>27</v>
      </c>
      <c r="K30" s="32">
        <v>10</v>
      </c>
      <c r="L30" s="32" t="s">
        <v>28</v>
      </c>
      <c r="M30" s="32" t="s">
        <v>29</v>
      </c>
      <c r="N30" s="31" t="s">
        <v>15</v>
      </c>
    </row>
    <row r="31" spans="2:15" x14ac:dyDescent="0.25">
      <c r="E31" s="33">
        <v>1</v>
      </c>
      <c r="F31" s="37"/>
      <c r="G31" s="37"/>
      <c r="H31" s="37">
        <f t="shared" ref="H31:H285" si="2">$H$16</f>
        <v>868800</v>
      </c>
      <c r="I31" s="37">
        <f ca="1">(RANDBETWEEN($E$14,$F$14)*$I$9)+$I$10+$I$18</f>
        <v>-189819.59895313275</v>
      </c>
      <c r="J31" s="37">
        <f ca="1">(RANDBETWEEN($E$14,$F$14)*$J$9)+$J$10+$J$18</f>
        <v>-9238.8910066427197</v>
      </c>
      <c r="K31" s="37">
        <f ca="1">(RANDBETWEEN($E$14,$F$14)*$K$9)+$K$10+$K$18</f>
        <v>260393.25392346107</v>
      </c>
      <c r="L31" s="37">
        <f ca="1">(RANDBETWEEN($E$14,$F$14)*$L$9)+$L$10+$L$18</f>
        <v>671221.40421803342</v>
      </c>
      <c r="M31" s="37">
        <f ca="1">(RANDBETWEEN($E$14,$F$14)*$M$9)+$M$10+$M$18</f>
        <v>1043245.7659826493</v>
      </c>
      <c r="N31" s="37">
        <f ca="1">NPV($E$23+$F$23,H31:M31)+$H$4</f>
        <v>1106289.4593414213</v>
      </c>
    </row>
    <row r="32" spans="2:15" x14ac:dyDescent="0.25">
      <c r="D32" s="33"/>
      <c r="E32" s="33">
        <v>2</v>
      </c>
      <c r="F32" s="37"/>
      <c r="G32" s="37"/>
      <c r="H32" s="37">
        <f t="shared" si="2"/>
        <v>868800</v>
      </c>
      <c r="I32" s="37">
        <f ca="1">(RANDBETWEEN($E$14,$F$14)*$I$9)+$I$10+$I$18</f>
        <v>-369472.96408399101</v>
      </c>
      <c r="J32" s="37">
        <f ca="1">(RANDBETWEEN($E$14,$F$14)*$J$9)+$J$10+$J$18</f>
        <v>-9238.8910066427197</v>
      </c>
      <c r="K32" s="37">
        <f ca="1">(RANDBETWEEN($E$14,$F$14)*$K$9)+$K$10+$K$18</f>
        <v>24363.532183028292</v>
      </c>
      <c r="L32" s="37">
        <f ca="1">(RANDBETWEEN($E$14,$F$14)*$L$9)+$L$10+$L$18</f>
        <v>999716.39339203853</v>
      </c>
      <c r="M32" s="37">
        <f ca="1">(RANDBETWEEN($E$14,$F$14)*$M$9)+$M$10+$M$18</f>
        <v>1424944.0925515993</v>
      </c>
      <c r="N32" s="37">
        <f ca="1">NPV($E$23+$F$23,H32:M32)+$H$4</f>
        <v>1291369.9127910445</v>
      </c>
    </row>
    <row r="33" spans="4:14" x14ac:dyDescent="0.25">
      <c r="D33" s="33"/>
      <c r="E33" s="33">
        <v>3</v>
      </c>
      <c r="F33" s="37"/>
      <c r="G33" s="37"/>
      <c r="H33" s="37">
        <f t="shared" si="2"/>
        <v>868800</v>
      </c>
      <c r="I33" s="37">
        <f ca="1">(RANDBETWEEN($E$14,$F$14)*$I$9)+$I$10+$I$18</f>
        <v>-189819.59895313275</v>
      </c>
      <c r="J33" s="37">
        <f ca="1">(RANDBETWEEN($E$14,$F$14)*$J$9)+$J$10+$J$18</f>
        <v>221933.48456383706</v>
      </c>
      <c r="K33" s="37">
        <f ca="1">(RANDBETWEEN($E$14,$F$14)*$K$9)+$K$10+$K$18</f>
        <v>260393.25392346107</v>
      </c>
      <c r="L33" s="37">
        <f ca="1">(RANDBETWEEN($E$14,$F$14)*$L$9)+$L$10+$L$18</f>
        <v>671221.40421803342</v>
      </c>
      <c r="M33" s="37">
        <f ca="1">(RANDBETWEEN($E$14,$F$14)*$M$9)+$M$10+$M$18</f>
        <v>1424944.0925515993</v>
      </c>
      <c r="N33" s="37">
        <f ca="1">NPV($E$23+$F$23,H33:M33)+$H$4</f>
        <v>1590814.0172572271</v>
      </c>
    </row>
    <row r="34" spans="4:14" x14ac:dyDescent="0.25">
      <c r="D34" s="33"/>
      <c r="E34" s="33">
        <v>4</v>
      </c>
      <c r="F34" s="37"/>
      <c r="G34" s="37"/>
      <c r="H34" s="37">
        <f t="shared" si="2"/>
        <v>868800</v>
      </c>
      <c r="I34" s="37">
        <f ca="1">(RANDBETWEEN($E$14,$F$14)*$I$9)+$I$10+$I$18</f>
        <v>-369472.96408399101</v>
      </c>
      <c r="J34" s="37">
        <f ca="1">(RANDBETWEEN($E$14,$F$14)*$J$9)+$J$10+$J$18</f>
        <v>221933.48456383706</v>
      </c>
      <c r="K34" s="37">
        <f ca="1">(RANDBETWEEN($E$14,$F$14)*$K$9)+$K$10+$K$18</f>
        <v>24363.532183028292</v>
      </c>
      <c r="L34" s="37">
        <f ca="1">(RANDBETWEEN($E$14,$F$14)*$L$9)+$L$10+$L$18</f>
        <v>999716.39339203853</v>
      </c>
      <c r="M34" s="37">
        <f ca="1">(RANDBETWEEN($E$14,$F$14)*$M$9)+$M$10+$M$18</f>
        <v>1424944.0925515993</v>
      </c>
      <c r="N34" s="37">
        <f ca="1">NPV($E$23+$F$23,H34:M34)+$H$4</f>
        <v>1491065.3025506642</v>
      </c>
    </row>
    <row r="35" spans="4:14" x14ac:dyDescent="0.25">
      <c r="D35" s="33"/>
      <c r="E35" s="33">
        <v>5</v>
      </c>
      <c r="F35" s="37"/>
      <c r="G35" s="37"/>
      <c r="H35" s="37">
        <f t="shared" si="2"/>
        <v>868800</v>
      </c>
      <c r="I35" s="37">
        <f ca="1">(RANDBETWEEN($E$14,$F$14)*$I$9)+$I$10+$I$18</f>
        <v>-369472.96408399101</v>
      </c>
      <c r="J35" s="37">
        <f ca="1">(RANDBETWEEN($E$14,$F$14)*$J$9)+$J$10+$J$18</f>
        <v>-9238.8910066427197</v>
      </c>
      <c r="K35" s="37">
        <f ca="1">(RANDBETWEEN($E$14,$F$14)*$K$9)+$K$10+$K$18</f>
        <v>260393.25392346107</v>
      </c>
      <c r="L35" s="37">
        <f ca="1">(RANDBETWEEN($E$14,$F$14)*$L$9)+$L$10+$L$18</f>
        <v>999716.39339203853</v>
      </c>
      <c r="M35" s="37">
        <f ca="1">(RANDBETWEEN($E$14,$F$14)*$M$9)+$M$10+$M$18</f>
        <v>1043245.7659826493</v>
      </c>
      <c r="N35" s="37">
        <f ca="1">NPV($E$23+$F$23,H35:M35)+$H$4</f>
        <v>1200722.9808351514</v>
      </c>
    </row>
    <row r="36" spans="4:14" x14ac:dyDescent="0.25">
      <c r="D36" s="33"/>
      <c r="E36" s="33">
        <v>6</v>
      </c>
      <c r="F36" s="37"/>
      <c r="G36" s="37"/>
      <c r="H36" s="37">
        <f t="shared" si="2"/>
        <v>868800</v>
      </c>
      <c r="I36" s="37">
        <f ca="1">(RANDBETWEEN($E$14,$F$14)*$I$9)+$I$10+$I$18</f>
        <v>-369472.96408399101</v>
      </c>
      <c r="J36" s="37">
        <f ca="1">(RANDBETWEEN($E$14,$F$14)*$J$9)+$J$10+$J$18</f>
        <v>-9238.8910066427197</v>
      </c>
      <c r="K36" s="37">
        <f ca="1">(RANDBETWEEN($E$14,$F$14)*$K$9)+$K$10+$K$18</f>
        <v>24363.532183028292</v>
      </c>
      <c r="L36" s="37">
        <f ca="1">(RANDBETWEEN($E$14,$F$14)*$L$9)+$L$10+$L$18</f>
        <v>999716.39339203853</v>
      </c>
      <c r="M36" s="37">
        <f ca="1">(RANDBETWEEN($E$14,$F$14)*$M$9)+$M$10+$M$18</f>
        <v>1424944.0925515993</v>
      </c>
      <c r="N36" s="37">
        <f ca="1">NPV($E$23+$F$23,H36:M36)+$H$4</f>
        <v>1291369.9127910445</v>
      </c>
    </row>
    <row r="37" spans="4:14" x14ac:dyDescent="0.25">
      <c r="D37" s="33"/>
      <c r="E37" s="33">
        <v>7</v>
      </c>
      <c r="F37" s="37"/>
      <c r="G37" s="37"/>
      <c r="H37" s="37">
        <f t="shared" si="2"/>
        <v>868800</v>
      </c>
      <c r="I37" s="37">
        <f ca="1">(RANDBETWEEN($E$14,$F$14)*$I$9)+$I$10+$I$18</f>
        <v>-189819.59895313275</v>
      </c>
      <c r="J37" s="37">
        <f ca="1">(RANDBETWEEN($E$14,$F$14)*$J$9)+$J$10+$J$18</f>
        <v>221933.48456383706</v>
      </c>
      <c r="K37" s="37">
        <f ca="1">(RANDBETWEEN($E$14,$F$14)*$K$9)+$K$10+$K$18</f>
        <v>24363.532183028292</v>
      </c>
      <c r="L37" s="37">
        <f ca="1">(RANDBETWEEN($E$14,$F$14)*$L$9)+$L$10+$L$18</f>
        <v>671221.40421803342</v>
      </c>
      <c r="M37" s="37">
        <f ca="1">(RANDBETWEEN($E$14,$F$14)*$M$9)+$M$10+$M$18</f>
        <v>1043245.7659826493</v>
      </c>
      <c r="N37" s="37">
        <f ca="1">NPV($E$23+$F$23,H37:M37)+$H$4</f>
        <v>1111802.6129007479</v>
      </c>
    </row>
    <row r="38" spans="4:14" x14ac:dyDescent="0.25">
      <c r="D38" s="33"/>
      <c r="E38" s="33">
        <v>8</v>
      </c>
      <c r="F38" s="37"/>
      <c r="G38" s="37"/>
      <c r="H38" s="37">
        <f t="shared" si="2"/>
        <v>868800</v>
      </c>
      <c r="I38" s="37">
        <f ca="1">(RANDBETWEEN($E$14,$F$14)*$I$9)+$I$10+$I$18</f>
        <v>-369472.96408399101</v>
      </c>
      <c r="J38" s="37">
        <f ca="1">(RANDBETWEEN($E$14,$F$14)*$J$9)+$J$10+$J$18</f>
        <v>-9238.8910066427197</v>
      </c>
      <c r="K38" s="37">
        <f ca="1">(RANDBETWEEN($E$14,$F$14)*$K$9)+$K$10+$K$18</f>
        <v>260393.25392346107</v>
      </c>
      <c r="L38" s="37">
        <f ca="1">(RANDBETWEEN($E$14,$F$14)*$L$9)+$L$10+$L$18</f>
        <v>999716.39339203853</v>
      </c>
      <c r="M38" s="37">
        <f ca="1">(RANDBETWEEN($E$14,$F$14)*$M$9)+$M$10+$M$18</f>
        <v>1043245.7659826493</v>
      </c>
      <c r="N38" s="37">
        <f ca="1">NPV($E$23+$F$23,H38:M38)+$H$4</f>
        <v>1200722.9808351514</v>
      </c>
    </row>
    <row r="39" spans="4:14" x14ac:dyDescent="0.25">
      <c r="D39" s="33"/>
      <c r="E39" s="33">
        <v>9</v>
      </c>
      <c r="F39" s="37"/>
      <c r="G39" s="37"/>
      <c r="H39" s="37">
        <f t="shared" si="2"/>
        <v>868800</v>
      </c>
      <c r="I39" s="37">
        <f ca="1">(RANDBETWEEN($E$14,$F$14)*$I$9)+$I$10+$I$18</f>
        <v>-189819.59895313275</v>
      </c>
      <c r="J39" s="37">
        <f ca="1">(RANDBETWEEN($E$14,$F$14)*$J$9)+$J$10+$J$18</f>
        <v>-9238.8910066427197</v>
      </c>
      <c r="K39" s="37">
        <f ca="1">(RANDBETWEEN($E$14,$F$14)*$K$9)+$K$10+$K$18</f>
        <v>260393.25392346107</v>
      </c>
      <c r="L39" s="37">
        <f ca="1">(RANDBETWEEN($E$14,$F$14)*$L$9)+$L$10+$L$18</f>
        <v>671221.40421803342</v>
      </c>
      <c r="M39" s="37">
        <f ca="1">(RANDBETWEEN($E$14,$F$14)*$M$9)+$M$10+$M$18</f>
        <v>1424944.0925515993</v>
      </c>
      <c r="N39" s="37">
        <f ca="1">NPV($E$23+$F$23,H39:M39)+$H$4</f>
        <v>1391118.6274976074</v>
      </c>
    </row>
    <row r="40" spans="4:14" x14ac:dyDescent="0.25">
      <c r="D40" s="33"/>
      <c r="E40" s="33">
        <v>10</v>
      </c>
      <c r="F40" s="37"/>
      <c r="G40" s="37"/>
      <c r="H40" s="37">
        <f t="shared" si="2"/>
        <v>868800</v>
      </c>
      <c r="I40" s="37">
        <f ca="1">(RANDBETWEEN($E$14,$F$14)*$I$9)+$I$10+$I$18</f>
        <v>-189819.59895313275</v>
      </c>
      <c r="J40" s="37">
        <f ca="1">(RANDBETWEEN($E$14,$F$14)*$J$9)+$J$10+$J$18</f>
        <v>221933.48456383706</v>
      </c>
      <c r="K40" s="37">
        <f ca="1">(RANDBETWEEN($E$14,$F$14)*$K$9)+$K$10+$K$18</f>
        <v>260393.25392346107</v>
      </c>
      <c r="L40" s="37">
        <f ca="1">(RANDBETWEEN($E$14,$F$14)*$L$9)+$L$10+$L$18</f>
        <v>999716.39339203853</v>
      </c>
      <c r="M40" s="37">
        <f ca="1">(RANDBETWEEN($E$14,$F$14)*$M$9)+$M$10+$M$18</f>
        <v>1424944.0925515993</v>
      </c>
      <c r="N40" s="37">
        <f t="shared" ref="N40" ca="1" si="3">NPV($E$23+$F$23,H40:M40)+$H$4</f>
        <v>1848198.4368288331</v>
      </c>
    </row>
    <row r="41" spans="4:14" x14ac:dyDescent="0.25">
      <c r="D41" s="33"/>
      <c r="E41" s="33">
        <v>11</v>
      </c>
      <c r="F41" s="37"/>
      <c r="G41" s="37"/>
      <c r="H41" s="37">
        <f t="shared" si="2"/>
        <v>868800</v>
      </c>
      <c r="I41" s="37">
        <f ca="1">(RANDBETWEEN($E$14,$F$14)*$I$9)+$I$10+$I$18</f>
        <v>-189819.59895313275</v>
      </c>
      <c r="J41" s="37">
        <f ca="1">(RANDBETWEEN($E$14,$F$14)*$J$9)+$J$10+$J$18</f>
        <v>-9238.8910066427197</v>
      </c>
      <c r="K41" s="37">
        <f ca="1">(RANDBETWEEN($E$14,$F$14)*$K$9)+$K$10+$K$18</f>
        <v>24363.532183028292</v>
      </c>
      <c r="L41" s="37">
        <f ca="1">(RANDBETWEEN($E$14,$F$14)*$L$9)+$L$10+$L$18</f>
        <v>999716.39339203853</v>
      </c>
      <c r="M41" s="37">
        <f ca="1">(RANDBETWEEN($E$14,$F$14)*$M$9)+$M$10+$M$18</f>
        <v>1424944.0925515993</v>
      </c>
      <c r="N41" s="37">
        <f t="shared" ref="N41" ca="1" si="4">NPV($E$23+$F$23,H41:M41)+$H$4</f>
        <v>1454320.8108689203</v>
      </c>
    </row>
    <row r="42" spans="4:14" x14ac:dyDescent="0.25">
      <c r="D42" s="33"/>
      <c r="E42" s="33">
        <v>12</v>
      </c>
      <c r="F42" s="37"/>
      <c r="G42" s="37"/>
      <c r="H42" s="37">
        <f t="shared" si="2"/>
        <v>868800</v>
      </c>
      <c r="I42" s="37">
        <f ca="1">(RANDBETWEEN($E$14,$F$14)*$I$9)+$I$10+$I$18</f>
        <v>-189819.59895313275</v>
      </c>
      <c r="J42" s="37">
        <f ca="1">(RANDBETWEEN($E$14,$F$14)*$J$9)+$J$10+$J$18</f>
        <v>221933.48456383706</v>
      </c>
      <c r="K42" s="37">
        <f ca="1">(RANDBETWEEN($E$14,$F$14)*$K$9)+$K$10+$K$18</f>
        <v>24363.532183028292</v>
      </c>
      <c r="L42" s="37">
        <f ca="1">(RANDBETWEEN($E$14,$F$14)*$L$9)+$L$10+$L$18</f>
        <v>671221.40421803342</v>
      </c>
      <c r="M42" s="37">
        <f ca="1">(RANDBETWEEN($E$14,$F$14)*$M$9)+$M$10+$M$18</f>
        <v>1043245.7659826493</v>
      </c>
      <c r="N42" s="37">
        <f t="shared" ref="N42" ca="1" si="5">NPV($E$23+$F$23,H42:M42)+$H$4</f>
        <v>1111802.6129007479</v>
      </c>
    </row>
    <row r="43" spans="4:14" ht="22.5" customHeight="1" x14ac:dyDescent="0.25">
      <c r="D43" s="33"/>
      <c r="E43" s="33">
        <v>13</v>
      </c>
      <c r="F43" s="37"/>
      <c r="G43" s="37"/>
      <c r="H43" s="37">
        <f t="shared" si="2"/>
        <v>868800</v>
      </c>
      <c r="I43" s="37">
        <f ca="1">(RANDBETWEEN($E$14,$F$14)*$I$9)+$I$10+$I$18</f>
        <v>-189819.59895313275</v>
      </c>
      <c r="J43" s="37">
        <f ca="1">(RANDBETWEEN($E$14,$F$14)*$J$9)+$J$10+$J$18</f>
        <v>221933.48456383706</v>
      </c>
      <c r="K43" s="37">
        <f ca="1">(RANDBETWEEN($E$14,$F$14)*$K$9)+$K$10+$K$18</f>
        <v>260393.25392346107</v>
      </c>
      <c r="L43" s="37">
        <f ca="1">(RANDBETWEEN($E$14,$F$14)*$L$9)+$L$10+$L$18</f>
        <v>671221.40421803342</v>
      </c>
      <c r="M43" s="37">
        <f ca="1">(RANDBETWEEN($E$14,$F$14)*$M$9)+$M$10+$M$18</f>
        <v>1043245.7659826493</v>
      </c>
      <c r="N43" s="37">
        <f t="shared" ref="N43" ca="1" si="6">NPV($E$23+$F$23,H43:M43)+$H$4</f>
        <v>1305984.8491010414</v>
      </c>
    </row>
    <row r="44" spans="4:14" x14ac:dyDescent="0.25">
      <c r="D44" s="33"/>
      <c r="E44" s="33">
        <v>14</v>
      </c>
      <c r="F44" s="37"/>
      <c r="G44" s="37"/>
      <c r="H44" s="37">
        <f t="shared" si="2"/>
        <v>868800</v>
      </c>
      <c r="I44" s="37">
        <f ca="1">(RANDBETWEEN($E$14,$F$14)*$I$9)+$I$10+$I$18</f>
        <v>-189819.59895313275</v>
      </c>
      <c r="J44" s="37">
        <f ca="1">(RANDBETWEEN($E$14,$F$14)*$J$9)+$J$10+$J$18</f>
        <v>-9238.8910066427197</v>
      </c>
      <c r="K44" s="37">
        <f ca="1">(RANDBETWEEN($E$14,$F$14)*$K$9)+$K$10+$K$18</f>
        <v>24363.532183028292</v>
      </c>
      <c r="L44" s="37">
        <f ca="1">(RANDBETWEEN($E$14,$F$14)*$L$9)+$L$10+$L$18</f>
        <v>999716.39339203853</v>
      </c>
      <c r="M44" s="37">
        <f ca="1">(RANDBETWEEN($E$14,$F$14)*$M$9)+$M$10+$M$18</f>
        <v>1043245.7659826493</v>
      </c>
      <c r="N44" s="37">
        <f t="shared" ref="N44" ca="1" si="7">NPV($E$23+$F$23,H44:M44)+$H$4</f>
        <v>1169491.6427127346</v>
      </c>
    </row>
    <row r="45" spans="4:14" x14ac:dyDescent="0.25">
      <c r="D45" s="33"/>
      <c r="E45" s="33">
        <v>15</v>
      </c>
      <c r="F45" s="37"/>
      <c r="G45" s="37"/>
      <c r="H45" s="37">
        <f t="shared" si="2"/>
        <v>868800</v>
      </c>
      <c r="I45" s="37">
        <f ca="1">(RANDBETWEEN($E$14,$F$14)*$I$9)+$I$10+$I$18</f>
        <v>-189819.59895313275</v>
      </c>
      <c r="J45" s="37">
        <f ca="1">(RANDBETWEEN($E$14,$F$14)*$J$9)+$J$10+$J$18</f>
        <v>-9238.8910066427197</v>
      </c>
      <c r="K45" s="37">
        <f ca="1">(RANDBETWEEN($E$14,$F$14)*$K$9)+$K$10+$K$18</f>
        <v>260393.25392346107</v>
      </c>
      <c r="L45" s="37">
        <f ca="1">(RANDBETWEEN($E$14,$F$14)*$L$9)+$L$10+$L$18</f>
        <v>671221.40421803342</v>
      </c>
      <c r="M45" s="37">
        <f ca="1">(RANDBETWEEN($E$14,$F$14)*$M$9)+$M$10+$M$18</f>
        <v>1424944.0925515993</v>
      </c>
      <c r="N45" s="37">
        <f t="shared" ref="N45" ca="1" si="8">NPV($E$23+$F$23,H45:M45)+$H$4</f>
        <v>1391118.6274976074</v>
      </c>
    </row>
    <row r="46" spans="4:14" x14ac:dyDescent="0.25">
      <c r="D46" s="33"/>
      <c r="E46" s="33">
        <v>16</v>
      </c>
      <c r="F46" s="37"/>
      <c r="G46" s="37"/>
      <c r="H46" s="37">
        <f t="shared" si="2"/>
        <v>868800</v>
      </c>
      <c r="I46" s="37">
        <f ca="1">(RANDBETWEEN($E$14,$F$14)*$I$9)+$I$10+$I$18</f>
        <v>-189819.59895313275</v>
      </c>
      <c r="J46" s="37">
        <f ca="1">(RANDBETWEEN($E$14,$F$14)*$J$9)+$J$10+$J$18</f>
        <v>221933.48456383706</v>
      </c>
      <c r="K46" s="37">
        <f ca="1">(RANDBETWEEN($E$14,$F$14)*$K$9)+$K$10+$K$18</f>
        <v>24363.532183028292</v>
      </c>
      <c r="L46" s="37">
        <f ca="1">(RANDBETWEEN($E$14,$F$14)*$L$9)+$L$10+$L$18</f>
        <v>671221.40421803342</v>
      </c>
      <c r="M46" s="37">
        <f ca="1">(RANDBETWEEN($E$14,$F$14)*$M$9)+$M$10+$M$18</f>
        <v>1043245.7659826493</v>
      </c>
      <c r="N46" s="37">
        <f t="shared" ref="N46" ca="1" si="9">NPV($E$23+$F$23,H46:M46)+$H$4</f>
        <v>1111802.6129007479</v>
      </c>
    </row>
    <row r="47" spans="4:14" x14ac:dyDescent="0.25">
      <c r="D47" s="33"/>
      <c r="E47" s="33">
        <v>17</v>
      </c>
      <c r="F47" s="37"/>
      <c r="G47" s="37"/>
      <c r="H47" s="37">
        <f t="shared" si="2"/>
        <v>868800</v>
      </c>
      <c r="I47" s="37">
        <f ca="1">(RANDBETWEEN($E$14,$F$14)*$I$9)+$I$10+$I$18</f>
        <v>-369472.96408399101</v>
      </c>
      <c r="J47" s="37">
        <f ca="1">(RANDBETWEEN($E$14,$F$14)*$J$9)+$J$10+$J$18</f>
        <v>221933.48456383706</v>
      </c>
      <c r="K47" s="37">
        <f ca="1">(RANDBETWEEN($E$14,$F$14)*$K$9)+$K$10+$K$18</f>
        <v>260393.25392346107</v>
      </c>
      <c r="L47" s="37">
        <f ca="1">(RANDBETWEEN($E$14,$F$14)*$L$9)+$L$10+$L$18</f>
        <v>999716.39339203853</v>
      </c>
      <c r="M47" s="37">
        <f ca="1">(RANDBETWEEN($E$14,$F$14)*$M$9)+$M$10+$M$18</f>
        <v>1043245.7659826493</v>
      </c>
      <c r="N47" s="37">
        <f t="shared" ref="N47" ca="1" si="10">NPV($E$23+$F$23,H47:M47)+$H$4</f>
        <v>1400418.3705947716</v>
      </c>
    </row>
    <row r="48" spans="4:14" x14ac:dyDescent="0.25">
      <c r="D48" s="33"/>
      <c r="E48" s="33">
        <v>18</v>
      </c>
      <c r="F48" s="37"/>
      <c r="G48" s="37"/>
      <c r="H48" s="37">
        <f t="shared" si="2"/>
        <v>868800</v>
      </c>
      <c r="I48" s="37">
        <f ca="1">(RANDBETWEEN($E$14,$F$14)*$I$9)+$I$10+$I$18</f>
        <v>-189819.59895313275</v>
      </c>
      <c r="J48" s="37">
        <f ca="1">(RANDBETWEEN($E$14,$F$14)*$J$9)+$J$10+$J$18</f>
        <v>221933.48456383706</v>
      </c>
      <c r="K48" s="37">
        <f ca="1">(RANDBETWEEN($E$14,$F$14)*$K$9)+$K$10+$K$18</f>
        <v>24363.532183028292</v>
      </c>
      <c r="L48" s="37">
        <f ca="1">(RANDBETWEEN($E$14,$F$14)*$L$9)+$L$10+$L$18</f>
        <v>671221.40421803342</v>
      </c>
      <c r="M48" s="37">
        <f ca="1">(RANDBETWEEN($E$14,$F$14)*$M$9)+$M$10+$M$18</f>
        <v>1424944.0925515993</v>
      </c>
      <c r="N48" s="37">
        <f t="shared" ref="N48" ca="1" si="11">NPV($E$23+$F$23,H48:M48)+$H$4</f>
        <v>1396631.7810569336</v>
      </c>
    </row>
    <row r="49" spans="4:14" x14ac:dyDescent="0.25">
      <c r="D49" s="33"/>
      <c r="E49" s="33">
        <v>19</v>
      </c>
      <c r="F49" s="37"/>
      <c r="G49" s="37"/>
      <c r="H49" s="37">
        <f t="shared" si="2"/>
        <v>868800</v>
      </c>
      <c r="I49" s="37">
        <f ca="1">(RANDBETWEEN($E$14,$F$14)*$I$9)+$I$10+$I$18</f>
        <v>-189819.59895313275</v>
      </c>
      <c r="J49" s="37">
        <f ca="1">(RANDBETWEEN($E$14,$F$14)*$J$9)+$J$10+$J$18</f>
        <v>-9238.8910066427197</v>
      </c>
      <c r="K49" s="37">
        <f ca="1">(RANDBETWEEN($E$14,$F$14)*$K$9)+$K$10+$K$18</f>
        <v>260393.25392346107</v>
      </c>
      <c r="L49" s="37">
        <f ca="1">(RANDBETWEEN($E$14,$F$14)*$L$9)+$L$10+$L$18</f>
        <v>671221.40421803342</v>
      </c>
      <c r="M49" s="37">
        <f ca="1">(RANDBETWEEN($E$14,$F$14)*$M$9)+$M$10+$M$18</f>
        <v>1424944.0925515993</v>
      </c>
      <c r="N49" s="37">
        <f t="shared" ref="N49" ca="1" si="12">NPV($E$23+$F$23,H49:M49)+$H$4</f>
        <v>1391118.6274976074</v>
      </c>
    </row>
    <row r="50" spans="4:14" x14ac:dyDescent="0.25">
      <c r="D50" s="33"/>
      <c r="E50" s="33">
        <v>20</v>
      </c>
      <c r="F50" s="37"/>
      <c r="G50" s="37"/>
      <c r="H50" s="37">
        <f t="shared" si="2"/>
        <v>868800</v>
      </c>
      <c r="I50" s="37">
        <f ca="1">(RANDBETWEEN($E$14,$F$14)*$I$9)+$I$10+$I$18</f>
        <v>-369472.96408399101</v>
      </c>
      <c r="J50" s="37">
        <f ca="1">(RANDBETWEEN($E$14,$F$14)*$J$9)+$J$10+$J$18</f>
        <v>-9238.8910066427197</v>
      </c>
      <c r="K50" s="37">
        <f ca="1">(RANDBETWEEN($E$14,$F$14)*$K$9)+$K$10+$K$18</f>
        <v>260393.25392346107</v>
      </c>
      <c r="L50" s="37">
        <f ca="1">(RANDBETWEEN($E$14,$F$14)*$L$9)+$L$10+$L$18</f>
        <v>671221.40421803342</v>
      </c>
      <c r="M50" s="37">
        <f ca="1">(RANDBETWEEN($E$14,$F$14)*$M$9)+$M$10+$M$18</f>
        <v>1043245.7659826493</v>
      </c>
      <c r="N50" s="37">
        <f t="shared" ref="N50" ca="1" si="13">NPV($E$23+$F$23,H50:M50)+$H$4</f>
        <v>943338.56126354542</v>
      </c>
    </row>
    <row r="51" spans="4:14" x14ac:dyDescent="0.25">
      <c r="D51" s="33"/>
      <c r="E51" s="33">
        <v>21</v>
      </c>
      <c r="F51" s="37"/>
      <c r="G51" s="37"/>
      <c r="H51" s="37">
        <f t="shared" si="2"/>
        <v>868800</v>
      </c>
      <c r="I51" s="37">
        <f ca="1">(RANDBETWEEN($E$14,$F$14)*$I$9)+$I$10+$I$18</f>
        <v>-369472.96408399101</v>
      </c>
      <c r="J51" s="37">
        <f ca="1">(RANDBETWEEN($E$14,$F$14)*$J$9)+$J$10+$J$18</f>
        <v>221933.48456383706</v>
      </c>
      <c r="K51" s="37">
        <f ca="1">(RANDBETWEEN($E$14,$F$14)*$K$9)+$K$10+$K$18</f>
        <v>24363.532183028292</v>
      </c>
      <c r="L51" s="37">
        <f ca="1">(RANDBETWEEN($E$14,$F$14)*$L$9)+$L$10+$L$18</f>
        <v>999716.39339203853</v>
      </c>
      <c r="M51" s="37">
        <f ca="1">(RANDBETWEEN($E$14,$F$14)*$M$9)+$M$10+$M$18</f>
        <v>1043245.7659826493</v>
      </c>
      <c r="N51" s="37">
        <f t="shared" ref="N51" ca="1" si="14">NPV($E$23+$F$23,H51:M51)+$H$4</f>
        <v>1206236.1343944785</v>
      </c>
    </row>
    <row r="52" spans="4:14" x14ac:dyDescent="0.25">
      <c r="D52" s="33"/>
      <c r="E52" s="33">
        <v>22</v>
      </c>
      <c r="F52" s="37"/>
      <c r="G52" s="37"/>
      <c r="H52" s="37">
        <f t="shared" si="2"/>
        <v>868800</v>
      </c>
      <c r="I52" s="37">
        <f ca="1">(RANDBETWEEN($E$14,$F$14)*$I$9)+$I$10+$I$18</f>
        <v>-369472.96408399101</v>
      </c>
      <c r="J52" s="37">
        <f ca="1">(RANDBETWEEN($E$14,$F$14)*$J$9)+$J$10+$J$18</f>
        <v>221933.48456383706</v>
      </c>
      <c r="K52" s="37">
        <f ca="1">(RANDBETWEEN($E$14,$F$14)*$K$9)+$K$10+$K$18</f>
        <v>24363.532183028292</v>
      </c>
      <c r="L52" s="37">
        <f ca="1">(RANDBETWEEN($E$14,$F$14)*$L$9)+$L$10+$L$18</f>
        <v>671221.40421803342</v>
      </c>
      <c r="M52" s="37">
        <f ca="1">(RANDBETWEEN($E$14,$F$14)*$M$9)+$M$10+$M$18</f>
        <v>1043245.7659826493</v>
      </c>
      <c r="N52" s="37">
        <f t="shared" ref="N52" ca="1" si="15">NPV($E$23+$F$23,H52:M52)+$H$4</f>
        <v>948851.71482287208</v>
      </c>
    </row>
    <row r="53" spans="4:14" x14ac:dyDescent="0.25">
      <c r="D53" s="33"/>
      <c r="E53" s="33">
        <v>23</v>
      </c>
      <c r="F53" s="37"/>
      <c r="G53" s="37"/>
      <c r="H53" s="37">
        <f t="shared" si="2"/>
        <v>868800</v>
      </c>
      <c r="I53" s="37">
        <f ca="1">(RANDBETWEEN($E$14,$F$14)*$I$9)+$I$10+$I$18</f>
        <v>-369472.96408399101</v>
      </c>
      <c r="J53" s="37">
        <f ca="1">(RANDBETWEEN($E$14,$F$14)*$J$9)+$J$10+$J$18</f>
        <v>-9238.8910066427197</v>
      </c>
      <c r="K53" s="37">
        <f ca="1">(RANDBETWEEN($E$14,$F$14)*$K$9)+$K$10+$K$18</f>
        <v>24363.532183028292</v>
      </c>
      <c r="L53" s="37">
        <f ca="1">(RANDBETWEEN($E$14,$F$14)*$L$9)+$L$10+$L$18</f>
        <v>671221.40421803342</v>
      </c>
      <c r="M53" s="37">
        <f ca="1">(RANDBETWEEN($E$14,$F$14)*$M$9)+$M$10+$M$18</f>
        <v>1043245.7659826493</v>
      </c>
      <c r="N53" s="37">
        <f t="shared" ref="N53" ca="1" si="16">NPV($E$23+$F$23,H53:M53)+$H$4</f>
        <v>749156.32506325236</v>
      </c>
    </row>
    <row r="54" spans="4:14" x14ac:dyDescent="0.25">
      <c r="D54" s="33"/>
      <c r="E54" s="33">
        <v>24</v>
      </c>
      <c r="F54" s="37"/>
      <c r="G54" s="37"/>
      <c r="H54" s="37">
        <f t="shared" si="2"/>
        <v>868800</v>
      </c>
      <c r="I54" s="37">
        <f ca="1">(RANDBETWEEN($E$14,$F$14)*$I$9)+$I$10+$I$18</f>
        <v>-189819.59895313275</v>
      </c>
      <c r="J54" s="37">
        <f ca="1">(RANDBETWEEN($E$14,$F$14)*$J$9)+$J$10+$J$18</f>
        <v>221933.48456383706</v>
      </c>
      <c r="K54" s="37">
        <f ca="1">(RANDBETWEEN($E$14,$F$14)*$K$9)+$K$10+$K$18</f>
        <v>260393.25392346107</v>
      </c>
      <c r="L54" s="37">
        <f ca="1">(RANDBETWEEN($E$14,$F$14)*$L$9)+$L$10+$L$18</f>
        <v>671221.40421803342</v>
      </c>
      <c r="M54" s="37">
        <f ca="1">(RANDBETWEEN($E$14,$F$14)*$M$9)+$M$10+$M$18</f>
        <v>1424944.0925515993</v>
      </c>
      <c r="N54" s="37">
        <f t="shared" ref="N54" ca="1" si="17">NPV($E$23+$F$23,H54:M54)+$H$4</f>
        <v>1590814.0172572271</v>
      </c>
    </row>
    <row r="55" spans="4:14" x14ac:dyDescent="0.25">
      <c r="D55" s="33"/>
      <c r="E55" s="33">
        <v>25</v>
      </c>
      <c r="F55" s="37"/>
      <c r="G55" s="37"/>
      <c r="H55" s="37">
        <f t="shared" si="2"/>
        <v>868800</v>
      </c>
      <c r="I55" s="37">
        <f ca="1">(RANDBETWEEN($E$14,$F$14)*$I$9)+$I$10+$I$18</f>
        <v>-369472.96408399101</v>
      </c>
      <c r="J55" s="37">
        <f ca="1">(RANDBETWEEN($E$14,$F$14)*$J$9)+$J$10+$J$18</f>
        <v>221933.48456383706</v>
      </c>
      <c r="K55" s="37">
        <f ca="1">(RANDBETWEEN($E$14,$F$14)*$K$9)+$K$10+$K$18</f>
        <v>24363.532183028292</v>
      </c>
      <c r="L55" s="37">
        <f ca="1">(RANDBETWEEN($E$14,$F$14)*$L$9)+$L$10+$L$18</f>
        <v>999716.39339203853</v>
      </c>
      <c r="M55" s="37">
        <f ca="1">(RANDBETWEEN($E$14,$F$14)*$M$9)+$M$10+$M$18</f>
        <v>1424944.0925515993</v>
      </c>
      <c r="N55" s="37">
        <f t="shared" ref="N55" ca="1" si="18">NPV($E$23+$F$23,H55:M55)+$H$4</f>
        <v>1491065.3025506642</v>
      </c>
    </row>
    <row r="56" spans="4:14" x14ac:dyDescent="0.25">
      <c r="D56" s="33"/>
      <c r="E56" s="33">
        <v>26</v>
      </c>
      <c r="F56" s="37"/>
      <c r="G56" s="37"/>
      <c r="H56" s="37">
        <f t="shared" si="2"/>
        <v>868800</v>
      </c>
      <c r="I56" s="37">
        <f ca="1">(RANDBETWEEN($E$14,$F$14)*$I$9)+$I$10+$I$18</f>
        <v>-369472.96408399101</v>
      </c>
      <c r="J56" s="37">
        <f ca="1">(RANDBETWEEN($E$14,$F$14)*$J$9)+$J$10+$J$18</f>
        <v>221933.48456383706</v>
      </c>
      <c r="K56" s="37">
        <f ca="1">(RANDBETWEEN($E$14,$F$14)*$K$9)+$K$10+$K$18</f>
        <v>260393.25392346107</v>
      </c>
      <c r="L56" s="37">
        <f ca="1">(RANDBETWEEN($E$14,$F$14)*$L$9)+$L$10+$L$18</f>
        <v>999716.39339203853</v>
      </c>
      <c r="M56" s="37">
        <f ca="1">(RANDBETWEEN($E$14,$F$14)*$M$9)+$M$10+$M$18</f>
        <v>1043245.7659826493</v>
      </c>
      <c r="N56" s="37">
        <f t="shared" ref="N56" ca="1" si="19">NPV($E$23+$F$23,H56:M56)+$H$4</f>
        <v>1400418.3705947716</v>
      </c>
    </row>
    <row r="57" spans="4:14" x14ac:dyDescent="0.25">
      <c r="D57" s="33"/>
      <c r="E57" s="33">
        <v>27</v>
      </c>
      <c r="F57" s="37"/>
      <c r="G57" s="37"/>
      <c r="H57" s="37">
        <f t="shared" si="2"/>
        <v>868800</v>
      </c>
      <c r="I57" s="37">
        <f ca="1">(RANDBETWEEN($E$14,$F$14)*$I$9)+$I$10+$I$18</f>
        <v>-369472.96408399101</v>
      </c>
      <c r="J57" s="37">
        <f ca="1">(RANDBETWEEN($E$14,$F$14)*$J$9)+$J$10+$J$18</f>
        <v>221933.48456383706</v>
      </c>
      <c r="K57" s="37">
        <f ca="1">(RANDBETWEEN($E$14,$F$14)*$K$9)+$K$10+$K$18</f>
        <v>260393.25392346107</v>
      </c>
      <c r="L57" s="37">
        <f ca="1">(RANDBETWEEN($E$14,$F$14)*$L$9)+$L$10+$L$18</f>
        <v>999716.39339203853</v>
      </c>
      <c r="M57" s="37">
        <f ca="1">(RANDBETWEEN($E$14,$F$14)*$M$9)+$M$10+$M$18</f>
        <v>1424944.0925515993</v>
      </c>
      <c r="N57" s="37">
        <f t="shared" ref="N57" ca="1" si="20">NPV($E$23+$F$23,H57:M57)+$H$4</f>
        <v>1685247.5387509572</v>
      </c>
    </row>
    <row r="58" spans="4:14" x14ac:dyDescent="0.25">
      <c r="D58" s="33"/>
      <c r="E58" s="33">
        <v>28</v>
      </c>
      <c r="F58" s="37"/>
      <c r="G58" s="37"/>
      <c r="H58" s="37">
        <f t="shared" si="2"/>
        <v>868800</v>
      </c>
      <c r="I58" s="37">
        <f ca="1">(RANDBETWEEN($E$14,$F$14)*$I$9)+$I$10+$I$18</f>
        <v>-189819.59895313275</v>
      </c>
      <c r="J58" s="37">
        <f ca="1">(RANDBETWEEN($E$14,$F$14)*$J$9)+$J$10+$J$18</f>
        <v>-9238.8910066427197</v>
      </c>
      <c r="K58" s="37">
        <f ca="1">(RANDBETWEEN($E$14,$F$14)*$K$9)+$K$10+$K$18</f>
        <v>260393.25392346107</v>
      </c>
      <c r="L58" s="37">
        <f ca="1">(RANDBETWEEN($E$14,$F$14)*$L$9)+$L$10+$L$18</f>
        <v>671221.40421803342</v>
      </c>
      <c r="M58" s="37">
        <f ca="1">(RANDBETWEEN($E$14,$F$14)*$M$9)+$M$10+$M$18</f>
        <v>1424944.0925515993</v>
      </c>
      <c r="N58" s="37">
        <f t="shared" ref="N58" ca="1" si="21">NPV($E$23+$F$23,H58:M58)+$H$4</f>
        <v>1391118.6274976074</v>
      </c>
    </row>
    <row r="59" spans="4:14" x14ac:dyDescent="0.25">
      <c r="D59" s="33"/>
      <c r="E59" s="33">
        <v>29</v>
      </c>
      <c r="F59" s="37"/>
      <c r="G59" s="37"/>
      <c r="H59" s="37">
        <f t="shared" si="2"/>
        <v>868800</v>
      </c>
      <c r="I59" s="37">
        <f ca="1">(RANDBETWEEN($E$14,$F$14)*$I$9)+$I$10+$I$18</f>
        <v>-189819.59895313275</v>
      </c>
      <c r="J59" s="37">
        <f ca="1">(RANDBETWEEN($E$14,$F$14)*$J$9)+$J$10+$J$18</f>
        <v>-9238.8910066427197</v>
      </c>
      <c r="K59" s="37">
        <f ca="1">(RANDBETWEEN($E$14,$F$14)*$K$9)+$K$10+$K$18</f>
        <v>260393.25392346107</v>
      </c>
      <c r="L59" s="37">
        <f ca="1">(RANDBETWEEN($E$14,$F$14)*$L$9)+$L$10+$L$18</f>
        <v>671221.40421803342</v>
      </c>
      <c r="M59" s="37">
        <f ca="1">(RANDBETWEEN($E$14,$F$14)*$M$9)+$M$10+$M$18</f>
        <v>1424944.0925515993</v>
      </c>
      <c r="N59" s="37">
        <f t="shared" ref="N59" ca="1" si="22">NPV($E$23+$F$23,H59:M59)+$H$4</f>
        <v>1391118.6274976074</v>
      </c>
    </row>
    <row r="60" spans="4:14" x14ac:dyDescent="0.25">
      <c r="D60" s="33"/>
      <c r="E60" s="33">
        <v>30</v>
      </c>
      <c r="F60" s="37"/>
      <c r="G60" s="37"/>
      <c r="H60" s="37">
        <f t="shared" si="2"/>
        <v>868800</v>
      </c>
      <c r="I60" s="37">
        <f ca="1">(RANDBETWEEN($E$14,$F$14)*$I$9)+$I$10+$I$18</f>
        <v>-369472.96408399101</v>
      </c>
      <c r="J60" s="37">
        <f ca="1">(RANDBETWEEN($E$14,$F$14)*$J$9)+$J$10+$J$18</f>
        <v>221933.48456383706</v>
      </c>
      <c r="K60" s="37">
        <f ca="1">(RANDBETWEEN($E$14,$F$14)*$K$9)+$K$10+$K$18</f>
        <v>260393.25392346107</v>
      </c>
      <c r="L60" s="37">
        <f ca="1">(RANDBETWEEN($E$14,$F$14)*$L$9)+$L$10+$L$18</f>
        <v>671221.40421803342</v>
      </c>
      <c r="M60" s="37">
        <f ca="1">(RANDBETWEEN($E$14,$F$14)*$M$9)+$M$10+$M$18</f>
        <v>1424944.0925515993</v>
      </c>
      <c r="N60" s="37">
        <f t="shared" ref="N60" ca="1" si="23">NPV($E$23+$F$23,H60:M60)+$H$4</f>
        <v>1427863.1191793513</v>
      </c>
    </row>
    <row r="61" spans="4:14" x14ac:dyDescent="0.25">
      <c r="D61" s="33"/>
      <c r="E61" s="33">
        <v>31</v>
      </c>
      <c r="F61" s="37"/>
      <c r="G61" s="37"/>
      <c r="H61" s="37">
        <f t="shared" si="2"/>
        <v>868800</v>
      </c>
      <c r="I61" s="37">
        <f ca="1">(RANDBETWEEN($E$14,$F$14)*$I$9)+$I$10+$I$18</f>
        <v>-369472.96408399101</v>
      </c>
      <c r="J61" s="37">
        <f ca="1">(RANDBETWEEN($E$14,$F$14)*$J$9)+$J$10+$J$18</f>
        <v>-9238.8910066427197</v>
      </c>
      <c r="K61" s="37">
        <f ca="1">(RANDBETWEEN($E$14,$F$14)*$K$9)+$K$10+$K$18</f>
        <v>260393.25392346107</v>
      </c>
      <c r="L61" s="37">
        <f ca="1">(RANDBETWEEN($E$14,$F$14)*$L$9)+$L$10+$L$18</f>
        <v>671221.40421803342</v>
      </c>
      <c r="M61" s="37">
        <f ca="1">(RANDBETWEEN($E$14,$F$14)*$M$9)+$M$10+$M$18</f>
        <v>1424944.0925515993</v>
      </c>
      <c r="N61" s="37">
        <f t="shared" ref="N61" ca="1" si="24">NPV($E$23+$F$23,H61:M61)+$H$4</f>
        <v>1228167.7294197315</v>
      </c>
    </row>
    <row r="62" spans="4:14" x14ac:dyDescent="0.25">
      <c r="D62" s="33"/>
      <c r="E62" s="33">
        <v>32</v>
      </c>
      <c r="F62" s="37"/>
      <c r="G62" s="37"/>
      <c r="H62" s="37">
        <f t="shared" si="2"/>
        <v>868800</v>
      </c>
      <c r="I62" s="37">
        <f ca="1">(RANDBETWEEN($E$14,$F$14)*$I$9)+$I$10+$I$18</f>
        <v>-369472.96408399101</v>
      </c>
      <c r="J62" s="37">
        <f ca="1">(RANDBETWEEN($E$14,$F$14)*$J$9)+$J$10+$J$18</f>
        <v>221933.48456383706</v>
      </c>
      <c r="K62" s="37">
        <f ca="1">(RANDBETWEEN($E$14,$F$14)*$K$9)+$K$10+$K$18</f>
        <v>24363.532183028292</v>
      </c>
      <c r="L62" s="37">
        <f ca="1">(RANDBETWEEN($E$14,$F$14)*$L$9)+$L$10+$L$18</f>
        <v>671221.40421803342</v>
      </c>
      <c r="M62" s="37">
        <f ca="1">(RANDBETWEEN($E$14,$F$14)*$M$9)+$M$10+$M$18</f>
        <v>1424944.0925515993</v>
      </c>
      <c r="N62" s="37">
        <f t="shared" ref="N62" ca="1" si="25">NPV($E$23+$F$23,H62:M62)+$H$4</f>
        <v>1233680.8829790577</v>
      </c>
    </row>
    <row r="63" spans="4:14" x14ac:dyDescent="0.25">
      <c r="D63" s="33"/>
      <c r="E63" s="33">
        <v>33</v>
      </c>
      <c r="F63" s="37"/>
      <c r="G63" s="37"/>
      <c r="H63" s="37">
        <f t="shared" si="2"/>
        <v>868800</v>
      </c>
      <c r="I63" s="37">
        <f ca="1">(RANDBETWEEN($E$14,$F$14)*$I$9)+$I$10+$I$18</f>
        <v>-369472.96408399101</v>
      </c>
      <c r="J63" s="37">
        <f ca="1">(RANDBETWEEN($E$14,$F$14)*$J$9)+$J$10+$J$18</f>
        <v>-9238.8910066427197</v>
      </c>
      <c r="K63" s="37">
        <f ca="1">(RANDBETWEEN($E$14,$F$14)*$K$9)+$K$10+$K$18</f>
        <v>260393.25392346107</v>
      </c>
      <c r="L63" s="37">
        <f ca="1">(RANDBETWEEN($E$14,$F$14)*$L$9)+$L$10+$L$18</f>
        <v>999716.39339203853</v>
      </c>
      <c r="M63" s="37">
        <f ca="1">(RANDBETWEEN($E$14,$F$14)*$M$9)+$M$10+$M$18</f>
        <v>1424944.0925515993</v>
      </c>
      <c r="N63" s="37">
        <f t="shared" ref="N63" ca="1" si="26">NPV($E$23+$F$23,H63:M63)+$H$4</f>
        <v>1485552.1489913375</v>
      </c>
    </row>
    <row r="64" spans="4:14" x14ac:dyDescent="0.25">
      <c r="D64" s="33"/>
      <c r="E64" s="33">
        <v>34</v>
      </c>
      <c r="F64" s="37"/>
      <c r="G64" s="37"/>
      <c r="H64" s="37">
        <f t="shared" si="2"/>
        <v>868800</v>
      </c>
      <c r="I64" s="37">
        <f ca="1">(RANDBETWEEN($E$14,$F$14)*$I$9)+$I$10+$I$18</f>
        <v>-369472.96408399101</v>
      </c>
      <c r="J64" s="37">
        <f ca="1">(RANDBETWEEN($E$14,$F$14)*$J$9)+$J$10+$J$18</f>
        <v>221933.48456383706</v>
      </c>
      <c r="K64" s="37">
        <f ca="1">(RANDBETWEEN($E$14,$F$14)*$K$9)+$K$10+$K$18</f>
        <v>260393.25392346107</v>
      </c>
      <c r="L64" s="37">
        <f ca="1">(RANDBETWEEN($E$14,$F$14)*$L$9)+$L$10+$L$18</f>
        <v>671221.40421803342</v>
      </c>
      <c r="M64" s="37">
        <f ca="1">(RANDBETWEEN($E$14,$F$14)*$M$9)+$M$10+$M$18</f>
        <v>1043245.7659826493</v>
      </c>
      <c r="N64" s="37">
        <f t="shared" ref="N64" ca="1" si="27">NPV($E$23+$F$23,H64:M64)+$H$4</f>
        <v>1143033.9510231656</v>
      </c>
    </row>
    <row r="65" spans="4:14" x14ac:dyDescent="0.25">
      <c r="D65" s="33"/>
      <c r="E65" s="33">
        <v>35</v>
      </c>
      <c r="F65" s="37"/>
      <c r="G65" s="37"/>
      <c r="H65" s="37">
        <f t="shared" si="2"/>
        <v>868800</v>
      </c>
      <c r="I65" s="37">
        <f ca="1">(RANDBETWEEN($E$14,$F$14)*$I$9)+$I$10+$I$18</f>
        <v>-369472.96408399101</v>
      </c>
      <c r="J65" s="37">
        <f ca="1">(RANDBETWEEN($E$14,$F$14)*$J$9)+$J$10+$J$18</f>
        <v>-9238.8910066427197</v>
      </c>
      <c r="K65" s="37">
        <f ca="1">(RANDBETWEEN($E$14,$F$14)*$K$9)+$K$10+$K$18</f>
        <v>260393.25392346107</v>
      </c>
      <c r="L65" s="37">
        <f ca="1">(RANDBETWEEN($E$14,$F$14)*$L$9)+$L$10+$L$18</f>
        <v>671221.40421803342</v>
      </c>
      <c r="M65" s="37">
        <f ca="1">(RANDBETWEEN($E$14,$F$14)*$M$9)+$M$10+$M$18</f>
        <v>1043245.7659826493</v>
      </c>
      <c r="N65" s="37">
        <f t="shared" ref="N65" ca="1" si="28">NPV($E$23+$F$23,H65:M65)+$H$4</f>
        <v>943338.56126354542</v>
      </c>
    </row>
    <row r="66" spans="4:14" x14ac:dyDescent="0.25">
      <c r="D66" s="33"/>
      <c r="E66" s="33">
        <v>36</v>
      </c>
      <c r="F66" s="37"/>
      <c r="G66" s="37"/>
      <c r="H66" s="37">
        <f t="shared" si="2"/>
        <v>868800</v>
      </c>
      <c r="I66" s="37">
        <f ca="1">(RANDBETWEEN($E$14,$F$14)*$I$9)+$I$10+$I$18</f>
        <v>-369472.96408399101</v>
      </c>
      <c r="J66" s="37">
        <f ca="1">(RANDBETWEEN($E$14,$F$14)*$J$9)+$J$10+$J$18</f>
        <v>221933.48456383706</v>
      </c>
      <c r="K66" s="37">
        <f ca="1">(RANDBETWEEN($E$14,$F$14)*$K$9)+$K$10+$K$18</f>
        <v>260393.25392346107</v>
      </c>
      <c r="L66" s="37">
        <f ca="1">(RANDBETWEEN($E$14,$F$14)*$L$9)+$L$10+$L$18</f>
        <v>671221.40421803342</v>
      </c>
      <c r="M66" s="37">
        <f ca="1">(RANDBETWEEN($E$14,$F$14)*$M$9)+$M$10+$M$18</f>
        <v>1043245.7659826493</v>
      </c>
      <c r="N66" s="37">
        <f t="shared" ref="N66" ca="1" si="29">NPV($E$23+$F$23,H66:M66)+$H$4</f>
        <v>1143033.9510231656</v>
      </c>
    </row>
    <row r="67" spans="4:14" x14ac:dyDescent="0.25">
      <c r="D67" s="33"/>
      <c r="E67" s="33">
        <v>37</v>
      </c>
      <c r="F67" s="37"/>
      <c r="G67" s="37"/>
      <c r="H67" s="37">
        <f t="shared" si="2"/>
        <v>868800</v>
      </c>
      <c r="I67" s="37">
        <f ca="1">(RANDBETWEEN($E$14,$F$14)*$I$9)+$I$10+$I$18</f>
        <v>-369472.96408399101</v>
      </c>
      <c r="J67" s="37">
        <f ca="1">(RANDBETWEEN($E$14,$F$14)*$J$9)+$J$10+$J$18</f>
        <v>221933.48456383706</v>
      </c>
      <c r="K67" s="37">
        <f ca="1">(RANDBETWEEN($E$14,$F$14)*$K$9)+$K$10+$K$18</f>
        <v>24363.532183028292</v>
      </c>
      <c r="L67" s="37">
        <f ca="1">(RANDBETWEEN($E$14,$F$14)*$L$9)+$L$10+$L$18</f>
        <v>999716.39339203853</v>
      </c>
      <c r="M67" s="37">
        <f ca="1">(RANDBETWEEN($E$14,$F$14)*$M$9)+$M$10+$M$18</f>
        <v>1424944.0925515993</v>
      </c>
      <c r="N67" s="37">
        <f t="shared" ref="N67" ca="1" si="30">NPV($E$23+$F$23,H67:M67)+$H$4</f>
        <v>1491065.3025506642</v>
      </c>
    </row>
    <row r="68" spans="4:14" x14ac:dyDescent="0.25">
      <c r="D68" s="33"/>
      <c r="E68" s="33">
        <v>38</v>
      </c>
      <c r="F68" s="37"/>
      <c r="G68" s="37"/>
      <c r="H68" s="37">
        <f t="shared" si="2"/>
        <v>868800</v>
      </c>
      <c r="I68" s="37">
        <f ca="1">(RANDBETWEEN($E$14,$F$14)*$I$9)+$I$10+$I$18</f>
        <v>-189819.59895313275</v>
      </c>
      <c r="J68" s="37">
        <f ca="1">(RANDBETWEEN($E$14,$F$14)*$J$9)+$J$10+$J$18</f>
        <v>-9238.8910066427197</v>
      </c>
      <c r="K68" s="37">
        <f ca="1">(RANDBETWEEN($E$14,$F$14)*$K$9)+$K$10+$K$18</f>
        <v>260393.25392346107</v>
      </c>
      <c r="L68" s="37">
        <f ca="1">(RANDBETWEEN($E$14,$F$14)*$L$9)+$L$10+$L$18</f>
        <v>999716.39339203853</v>
      </c>
      <c r="M68" s="37">
        <f ca="1">(RANDBETWEEN($E$14,$F$14)*$M$9)+$M$10+$M$18</f>
        <v>1424944.0925515993</v>
      </c>
      <c r="N68" s="37">
        <f t="shared" ref="N68" ca="1" si="31">NPV($E$23+$F$23,H68:M68)+$H$4</f>
        <v>1648503.0470692138</v>
      </c>
    </row>
    <row r="69" spans="4:14" x14ac:dyDescent="0.25">
      <c r="D69" s="33"/>
      <c r="E69" s="33">
        <v>39</v>
      </c>
      <c r="F69" s="37"/>
      <c r="G69" s="37"/>
      <c r="H69" s="37">
        <f t="shared" si="2"/>
        <v>868800</v>
      </c>
      <c r="I69" s="37">
        <f ca="1">(RANDBETWEEN($E$14,$F$14)*$I$9)+$I$10+$I$18</f>
        <v>-369472.96408399101</v>
      </c>
      <c r="J69" s="37">
        <f ca="1">(RANDBETWEEN($E$14,$F$14)*$J$9)+$J$10+$J$18</f>
        <v>221933.48456383706</v>
      </c>
      <c r="K69" s="37">
        <f ca="1">(RANDBETWEEN($E$14,$F$14)*$K$9)+$K$10+$K$18</f>
        <v>24363.532183028292</v>
      </c>
      <c r="L69" s="37">
        <f ca="1">(RANDBETWEEN($E$14,$F$14)*$L$9)+$L$10+$L$18</f>
        <v>671221.40421803342</v>
      </c>
      <c r="M69" s="37">
        <f ca="1">(RANDBETWEEN($E$14,$F$14)*$M$9)+$M$10+$M$18</f>
        <v>1424944.0925515993</v>
      </c>
      <c r="N69" s="37">
        <f t="shared" ref="N69" ca="1" si="32">NPV($E$23+$F$23,H69:M69)+$H$4</f>
        <v>1233680.8829790577</v>
      </c>
    </row>
    <row r="70" spans="4:14" x14ac:dyDescent="0.25">
      <c r="D70" s="33"/>
      <c r="E70" s="33">
        <v>40</v>
      </c>
      <c r="F70" s="37"/>
      <c r="G70" s="37"/>
      <c r="H70" s="37">
        <f t="shared" si="2"/>
        <v>868800</v>
      </c>
      <c r="I70" s="37">
        <f ca="1">(RANDBETWEEN($E$14,$F$14)*$I$9)+$I$10+$I$18</f>
        <v>-369472.96408399101</v>
      </c>
      <c r="J70" s="37">
        <f ca="1">(RANDBETWEEN($E$14,$F$14)*$J$9)+$J$10+$J$18</f>
        <v>-9238.8910066427197</v>
      </c>
      <c r="K70" s="37">
        <f ca="1">(RANDBETWEEN($E$14,$F$14)*$K$9)+$K$10+$K$18</f>
        <v>24363.532183028292</v>
      </c>
      <c r="L70" s="37">
        <f ca="1">(RANDBETWEEN($E$14,$F$14)*$L$9)+$L$10+$L$18</f>
        <v>999716.39339203853</v>
      </c>
      <c r="M70" s="37">
        <f ca="1">(RANDBETWEEN($E$14,$F$14)*$M$9)+$M$10+$M$18</f>
        <v>1043245.7659826493</v>
      </c>
      <c r="N70" s="37">
        <f t="shared" ref="N70" ca="1" si="33">NPV($E$23+$F$23,H70:M70)+$H$4</f>
        <v>1006540.7446348586</v>
      </c>
    </row>
    <row r="71" spans="4:14" x14ac:dyDescent="0.25">
      <c r="D71" s="33"/>
      <c r="E71" s="33">
        <v>41</v>
      </c>
      <c r="F71" s="37"/>
      <c r="G71" s="37"/>
      <c r="H71" s="37">
        <f t="shared" si="2"/>
        <v>868800</v>
      </c>
      <c r="I71" s="37">
        <f ca="1">(RANDBETWEEN($E$14,$F$14)*$I$9)+$I$10+$I$18</f>
        <v>-189819.59895313275</v>
      </c>
      <c r="J71" s="37">
        <f ca="1">(RANDBETWEEN($E$14,$F$14)*$J$9)+$J$10+$J$18</f>
        <v>221933.48456383706</v>
      </c>
      <c r="K71" s="37">
        <f ca="1">(RANDBETWEEN($E$14,$F$14)*$K$9)+$K$10+$K$18</f>
        <v>260393.25392346107</v>
      </c>
      <c r="L71" s="37">
        <f ca="1">(RANDBETWEEN($E$14,$F$14)*$L$9)+$L$10+$L$18</f>
        <v>999716.39339203853</v>
      </c>
      <c r="M71" s="37">
        <f ca="1">(RANDBETWEEN($E$14,$F$14)*$M$9)+$M$10+$M$18</f>
        <v>1043245.7659826493</v>
      </c>
      <c r="N71" s="37">
        <f t="shared" ref="N71" ca="1" si="34">NPV($E$23+$F$23,H71:M71)+$H$4</f>
        <v>1563369.2686726474</v>
      </c>
    </row>
    <row r="72" spans="4:14" x14ac:dyDescent="0.25">
      <c r="D72" s="33"/>
      <c r="E72" s="33">
        <v>42</v>
      </c>
      <c r="F72" s="37"/>
      <c r="G72" s="37"/>
      <c r="H72" s="37">
        <f t="shared" si="2"/>
        <v>868800</v>
      </c>
      <c r="I72" s="37">
        <f ca="1">(RANDBETWEEN($E$14,$F$14)*$I$9)+$I$10+$I$18</f>
        <v>-369472.96408399101</v>
      </c>
      <c r="J72" s="37">
        <f ca="1">(RANDBETWEEN($E$14,$F$14)*$J$9)+$J$10+$J$18</f>
        <v>221933.48456383706</v>
      </c>
      <c r="K72" s="37">
        <f ca="1">(RANDBETWEEN($E$14,$F$14)*$K$9)+$K$10+$K$18</f>
        <v>24363.532183028292</v>
      </c>
      <c r="L72" s="37">
        <f ca="1">(RANDBETWEEN($E$14,$F$14)*$L$9)+$L$10+$L$18</f>
        <v>671221.40421803342</v>
      </c>
      <c r="M72" s="37">
        <f ca="1">(RANDBETWEEN($E$14,$F$14)*$M$9)+$M$10+$M$18</f>
        <v>1043245.7659826493</v>
      </c>
      <c r="N72" s="37">
        <f t="shared" ref="N72" ca="1" si="35">NPV($E$23+$F$23,H72:M72)+$H$4</f>
        <v>948851.71482287208</v>
      </c>
    </row>
    <row r="73" spans="4:14" x14ac:dyDescent="0.25">
      <c r="D73" s="33"/>
      <c r="E73" s="33">
        <v>43</v>
      </c>
      <c r="F73" s="37"/>
      <c r="G73" s="37"/>
      <c r="H73" s="37">
        <f t="shared" si="2"/>
        <v>868800</v>
      </c>
      <c r="I73" s="37">
        <f ca="1">(RANDBETWEEN($E$14,$F$14)*$I$9)+$I$10+$I$18</f>
        <v>-189819.59895313275</v>
      </c>
      <c r="J73" s="37">
        <f ca="1">(RANDBETWEEN($E$14,$F$14)*$J$9)+$J$10+$J$18</f>
        <v>-9238.8910066427197</v>
      </c>
      <c r="K73" s="37">
        <f ca="1">(RANDBETWEEN($E$14,$F$14)*$K$9)+$K$10+$K$18</f>
        <v>260393.25392346107</v>
      </c>
      <c r="L73" s="37">
        <f ca="1">(RANDBETWEEN($E$14,$F$14)*$L$9)+$L$10+$L$18</f>
        <v>671221.40421803342</v>
      </c>
      <c r="M73" s="37">
        <f ca="1">(RANDBETWEEN($E$14,$F$14)*$M$9)+$M$10+$M$18</f>
        <v>1424944.0925515993</v>
      </c>
      <c r="N73" s="37">
        <f t="shared" ref="N73" ca="1" si="36">NPV($E$23+$F$23,H73:M73)+$H$4</f>
        <v>1391118.6274976074</v>
      </c>
    </row>
    <row r="74" spans="4:14" x14ac:dyDescent="0.25">
      <c r="D74" s="33"/>
      <c r="E74" s="33">
        <v>44</v>
      </c>
      <c r="F74" s="37"/>
      <c r="G74" s="37"/>
      <c r="H74" s="37">
        <f t="shared" si="2"/>
        <v>868800</v>
      </c>
      <c r="I74" s="37">
        <f ca="1">(RANDBETWEEN($E$14,$F$14)*$I$9)+$I$10+$I$18</f>
        <v>-189819.59895313275</v>
      </c>
      <c r="J74" s="37">
        <f ca="1">(RANDBETWEEN($E$14,$F$14)*$J$9)+$J$10+$J$18</f>
        <v>-9238.8910066427197</v>
      </c>
      <c r="K74" s="37">
        <f ca="1">(RANDBETWEEN($E$14,$F$14)*$K$9)+$K$10+$K$18</f>
        <v>260393.25392346107</v>
      </c>
      <c r="L74" s="37">
        <f ca="1">(RANDBETWEEN($E$14,$F$14)*$L$9)+$L$10+$L$18</f>
        <v>671221.40421803342</v>
      </c>
      <c r="M74" s="37">
        <f ca="1">(RANDBETWEEN($E$14,$F$14)*$M$9)+$M$10+$M$18</f>
        <v>1043245.7659826493</v>
      </c>
      <c r="N74" s="37">
        <f t="shared" ref="N74" ca="1" si="37">NPV($E$23+$F$23,H74:M74)+$H$4</f>
        <v>1106289.4593414213</v>
      </c>
    </row>
    <row r="75" spans="4:14" x14ac:dyDescent="0.25">
      <c r="D75" s="33"/>
      <c r="E75" s="33">
        <v>45</v>
      </c>
      <c r="F75" s="37"/>
      <c r="G75" s="37"/>
      <c r="H75" s="37">
        <f t="shared" si="2"/>
        <v>868800</v>
      </c>
      <c r="I75" s="37">
        <f ca="1">(RANDBETWEEN($E$14,$F$14)*$I$9)+$I$10+$I$18</f>
        <v>-189819.59895313275</v>
      </c>
      <c r="J75" s="37">
        <f ca="1">(RANDBETWEEN($E$14,$F$14)*$J$9)+$J$10+$J$18</f>
        <v>221933.48456383706</v>
      </c>
      <c r="K75" s="37">
        <f ca="1">(RANDBETWEEN($E$14,$F$14)*$K$9)+$K$10+$K$18</f>
        <v>260393.25392346107</v>
      </c>
      <c r="L75" s="37">
        <f ca="1">(RANDBETWEEN($E$14,$F$14)*$L$9)+$L$10+$L$18</f>
        <v>671221.40421803342</v>
      </c>
      <c r="M75" s="37">
        <f ca="1">(RANDBETWEEN($E$14,$F$14)*$M$9)+$M$10+$M$18</f>
        <v>1424944.0925515993</v>
      </c>
      <c r="N75" s="37">
        <f t="shared" ref="N75" ca="1" si="38">NPV($E$23+$F$23,H75:M75)+$H$4</f>
        <v>1590814.0172572271</v>
      </c>
    </row>
    <row r="76" spans="4:14" x14ac:dyDescent="0.25">
      <c r="D76" s="33"/>
      <c r="E76" s="33">
        <v>46</v>
      </c>
      <c r="F76" s="37"/>
      <c r="G76" s="37"/>
      <c r="H76" s="37">
        <f t="shared" si="2"/>
        <v>868800</v>
      </c>
      <c r="I76" s="37">
        <f ca="1">(RANDBETWEEN($E$14,$F$14)*$I$9)+$I$10+$I$18</f>
        <v>-369472.96408399101</v>
      </c>
      <c r="J76" s="37">
        <f ca="1">(RANDBETWEEN($E$14,$F$14)*$J$9)+$J$10+$J$18</f>
        <v>-9238.8910066427197</v>
      </c>
      <c r="K76" s="37">
        <f ca="1">(RANDBETWEEN($E$14,$F$14)*$K$9)+$K$10+$K$18</f>
        <v>24363.532183028292</v>
      </c>
      <c r="L76" s="37">
        <f ca="1">(RANDBETWEEN($E$14,$F$14)*$L$9)+$L$10+$L$18</f>
        <v>999716.39339203853</v>
      </c>
      <c r="M76" s="37">
        <f ca="1">(RANDBETWEEN($E$14,$F$14)*$M$9)+$M$10+$M$18</f>
        <v>1424944.0925515993</v>
      </c>
      <c r="N76" s="37">
        <f t="shared" ref="N76" ca="1" si="39">NPV($E$23+$F$23,H76:M76)+$H$4</f>
        <v>1291369.9127910445</v>
      </c>
    </row>
    <row r="77" spans="4:14" x14ac:dyDescent="0.25">
      <c r="D77" s="33"/>
      <c r="E77" s="33">
        <v>47</v>
      </c>
      <c r="F77" s="37"/>
      <c r="G77" s="37"/>
      <c r="H77" s="37">
        <f t="shared" si="2"/>
        <v>868800</v>
      </c>
      <c r="I77" s="37">
        <f ca="1">(RANDBETWEEN($E$14,$F$14)*$I$9)+$I$10+$I$18</f>
        <v>-189819.59895313275</v>
      </c>
      <c r="J77" s="37">
        <f ca="1">(RANDBETWEEN($E$14,$F$14)*$J$9)+$J$10+$J$18</f>
        <v>-9238.8910066427197</v>
      </c>
      <c r="K77" s="37">
        <f ca="1">(RANDBETWEEN($E$14,$F$14)*$K$9)+$K$10+$K$18</f>
        <v>24363.532183028292</v>
      </c>
      <c r="L77" s="37">
        <f ca="1">(RANDBETWEEN($E$14,$F$14)*$L$9)+$L$10+$L$18</f>
        <v>999716.39339203853</v>
      </c>
      <c r="M77" s="37">
        <f ca="1">(RANDBETWEEN($E$14,$F$14)*$M$9)+$M$10+$M$18</f>
        <v>1043245.7659826493</v>
      </c>
      <c r="N77" s="37">
        <f t="shared" ref="N77" ca="1" si="40">NPV($E$23+$F$23,H77:M77)+$H$4</f>
        <v>1169491.6427127346</v>
      </c>
    </row>
    <row r="78" spans="4:14" x14ac:dyDescent="0.25">
      <c r="D78" s="33"/>
      <c r="E78" s="33">
        <v>48</v>
      </c>
      <c r="F78" s="37"/>
      <c r="G78" s="37"/>
      <c r="H78" s="37">
        <f t="shared" si="2"/>
        <v>868800</v>
      </c>
      <c r="I78" s="37">
        <f ca="1">(RANDBETWEEN($E$14,$F$14)*$I$9)+$I$10+$I$18</f>
        <v>-189819.59895313275</v>
      </c>
      <c r="J78" s="37">
        <f ca="1">(RANDBETWEEN($E$14,$F$14)*$J$9)+$J$10+$J$18</f>
        <v>-9238.8910066427197</v>
      </c>
      <c r="K78" s="37">
        <f ca="1">(RANDBETWEEN($E$14,$F$14)*$K$9)+$K$10+$K$18</f>
        <v>260393.25392346107</v>
      </c>
      <c r="L78" s="37">
        <f ca="1">(RANDBETWEEN($E$14,$F$14)*$L$9)+$L$10+$L$18</f>
        <v>671221.40421803342</v>
      </c>
      <c r="M78" s="37">
        <f ca="1">(RANDBETWEEN($E$14,$F$14)*$M$9)+$M$10+$M$18</f>
        <v>1043245.7659826493</v>
      </c>
      <c r="N78" s="37">
        <f t="shared" ref="N78" ca="1" si="41">NPV($E$23+$F$23,H78:M78)+$H$4</f>
        <v>1106289.4593414213</v>
      </c>
    </row>
    <row r="79" spans="4:14" x14ac:dyDescent="0.25">
      <c r="D79" s="33"/>
      <c r="E79" s="33">
        <v>49</v>
      </c>
      <c r="F79" s="37"/>
      <c r="G79" s="37"/>
      <c r="H79" s="37">
        <f t="shared" si="2"/>
        <v>868800</v>
      </c>
      <c r="I79" s="37">
        <f ca="1">(RANDBETWEEN($E$14,$F$14)*$I$9)+$I$10+$I$18</f>
        <v>-369472.96408399101</v>
      </c>
      <c r="J79" s="37">
        <f ca="1">(RANDBETWEEN($E$14,$F$14)*$J$9)+$J$10+$J$18</f>
        <v>-9238.8910066427197</v>
      </c>
      <c r="K79" s="37">
        <f ca="1">(RANDBETWEEN($E$14,$F$14)*$K$9)+$K$10+$K$18</f>
        <v>24363.532183028292</v>
      </c>
      <c r="L79" s="37">
        <f ca="1">(RANDBETWEEN($E$14,$F$14)*$L$9)+$L$10+$L$18</f>
        <v>999716.39339203853</v>
      </c>
      <c r="M79" s="37">
        <f ca="1">(RANDBETWEEN($E$14,$F$14)*$M$9)+$M$10+$M$18</f>
        <v>1424944.0925515993</v>
      </c>
      <c r="N79" s="37">
        <f t="shared" ref="N79" ca="1" si="42">NPV($E$23+$F$23,H79:M79)+$H$4</f>
        <v>1291369.9127910445</v>
      </c>
    </row>
    <row r="80" spans="4:14" x14ac:dyDescent="0.25">
      <c r="D80" s="33"/>
      <c r="E80" s="33">
        <v>50</v>
      </c>
      <c r="F80" s="37"/>
      <c r="G80" s="37"/>
      <c r="H80" s="37">
        <f t="shared" si="2"/>
        <v>868800</v>
      </c>
      <c r="I80" s="37">
        <f ca="1">(RANDBETWEEN($E$14,$F$14)*$I$9)+$I$10+$I$18</f>
        <v>-189819.59895313275</v>
      </c>
      <c r="J80" s="37">
        <f ca="1">(RANDBETWEEN($E$14,$F$14)*$J$9)+$J$10+$J$18</f>
        <v>221933.48456383706</v>
      </c>
      <c r="K80" s="37">
        <f ca="1">(RANDBETWEEN($E$14,$F$14)*$K$9)+$K$10+$K$18</f>
        <v>24363.532183028292</v>
      </c>
      <c r="L80" s="37">
        <f ca="1">(RANDBETWEEN($E$14,$F$14)*$L$9)+$L$10+$L$18</f>
        <v>999716.39339203853</v>
      </c>
      <c r="M80" s="37">
        <f ca="1">(RANDBETWEEN($E$14,$F$14)*$M$9)+$M$10+$M$18</f>
        <v>1043245.7659826493</v>
      </c>
      <c r="N80" s="37">
        <f t="shared" ref="N80" ca="1" si="43">NPV($E$23+$F$23,H80:M80)+$H$4</f>
        <v>1369187.0324723539</v>
      </c>
    </row>
    <row r="81" spans="4:14" x14ac:dyDescent="0.25">
      <c r="D81" s="33"/>
      <c r="E81" s="33">
        <v>51</v>
      </c>
      <c r="F81" s="37"/>
      <c r="G81" s="37"/>
      <c r="H81" s="37">
        <f t="shared" si="2"/>
        <v>868800</v>
      </c>
      <c r="I81" s="37">
        <f ca="1">(RANDBETWEEN($E$14,$F$14)*$I$9)+$I$10+$I$18</f>
        <v>-369472.96408399101</v>
      </c>
      <c r="J81" s="37">
        <f ca="1">(RANDBETWEEN($E$14,$F$14)*$J$9)+$J$10+$J$18</f>
        <v>221933.48456383706</v>
      </c>
      <c r="K81" s="37">
        <f ca="1">(RANDBETWEEN($E$14,$F$14)*$K$9)+$K$10+$K$18</f>
        <v>24363.532183028292</v>
      </c>
      <c r="L81" s="37">
        <f ca="1">(RANDBETWEEN($E$14,$F$14)*$L$9)+$L$10+$L$18</f>
        <v>999716.39339203853</v>
      </c>
      <c r="M81" s="37">
        <f ca="1">(RANDBETWEEN($E$14,$F$14)*$M$9)+$M$10+$M$18</f>
        <v>1043245.7659826493</v>
      </c>
      <c r="N81" s="37">
        <f t="shared" ref="N81" ca="1" si="44">NPV($E$23+$F$23,H81:M81)+$H$4</f>
        <v>1206236.1343944785</v>
      </c>
    </row>
    <row r="82" spans="4:14" x14ac:dyDescent="0.25">
      <c r="D82" s="33"/>
      <c r="E82" s="33">
        <v>52</v>
      </c>
      <c r="F82" s="37"/>
      <c r="G82" s="37"/>
      <c r="H82" s="37">
        <f t="shared" si="2"/>
        <v>868800</v>
      </c>
      <c r="I82" s="37">
        <f ca="1">(RANDBETWEEN($E$14,$F$14)*$I$9)+$I$10+$I$18</f>
        <v>-369472.96408399101</v>
      </c>
      <c r="J82" s="37">
        <f ca="1">(RANDBETWEEN($E$14,$F$14)*$J$9)+$J$10+$J$18</f>
        <v>221933.48456383706</v>
      </c>
      <c r="K82" s="37">
        <f ca="1">(RANDBETWEEN($E$14,$F$14)*$K$9)+$K$10+$K$18</f>
        <v>24363.532183028292</v>
      </c>
      <c r="L82" s="37">
        <f ca="1">(RANDBETWEEN($E$14,$F$14)*$L$9)+$L$10+$L$18</f>
        <v>671221.40421803342</v>
      </c>
      <c r="M82" s="37">
        <f ca="1">(RANDBETWEEN($E$14,$F$14)*$M$9)+$M$10+$M$18</f>
        <v>1043245.7659826493</v>
      </c>
      <c r="N82" s="37">
        <f t="shared" ref="N82" ca="1" si="45">NPV($E$23+$F$23,H82:M82)+$H$4</f>
        <v>948851.71482287208</v>
      </c>
    </row>
    <row r="83" spans="4:14" x14ac:dyDescent="0.25">
      <c r="D83" s="33"/>
      <c r="E83" s="33">
        <v>53</v>
      </c>
      <c r="F83" s="37"/>
      <c r="G83" s="37"/>
      <c r="H83" s="37">
        <f t="shared" si="2"/>
        <v>868800</v>
      </c>
      <c r="I83" s="37">
        <f ca="1">(RANDBETWEEN($E$14,$F$14)*$I$9)+$I$10+$I$18</f>
        <v>-369472.96408399101</v>
      </c>
      <c r="J83" s="37">
        <f ca="1">(RANDBETWEEN($E$14,$F$14)*$J$9)+$J$10+$J$18</f>
        <v>221933.48456383706</v>
      </c>
      <c r="K83" s="37">
        <f ca="1">(RANDBETWEEN($E$14,$F$14)*$K$9)+$K$10+$K$18</f>
        <v>24363.532183028292</v>
      </c>
      <c r="L83" s="37">
        <f ca="1">(RANDBETWEEN($E$14,$F$14)*$L$9)+$L$10+$L$18</f>
        <v>671221.40421803342</v>
      </c>
      <c r="M83" s="37">
        <f ca="1">(RANDBETWEEN($E$14,$F$14)*$M$9)+$M$10+$M$18</f>
        <v>1424944.0925515993</v>
      </c>
      <c r="N83" s="37">
        <f t="shared" ref="N83" ca="1" si="46">NPV($E$23+$F$23,H83:M83)+$H$4</f>
        <v>1233680.8829790577</v>
      </c>
    </row>
    <row r="84" spans="4:14" x14ac:dyDescent="0.25">
      <c r="D84" s="33"/>
      <c r="E84" s="33">
        <v>54</v>
      </c>
      <c r="F84" s="37"/>
      <c r="G84" s="37"/>
      <c r="H84" s="37">
        <f t="shared" si="2"/>
        <v>868800</v>
      </c>
      <c r="I84" s="37">
        <f ca="1">(RANDBETWEEN($E$14,$F$14)*$I$9)+$I$10+$I$18</f>
        <v>-369472.96408399101</v>
      </c>
      <c r="J84" s="37">
        <f ca="1">(RANDBETWEEN($E$14,$F$14)*$J$9)+$J$10+$J$18</f>
        <v>-9238.8910066427197</v>
      </c>
      <c r="K84" s="37">
        <f ca="1">(RANDBETWEEN($E$14,$F$14)*$K$9)+$K$10+$K$18</f>
        <v>260393.25392346107</v>
      </c>
      <c r="L84" s="37">
        <f ca="1">(RANDBETWEEN($E$14,$F$14)*$L$9)+$L$10+$L$18</f>
        <v>671221.40421803342</v>
      </c>
      <c r="M84" s="37">
        <f ca="1">(RANDBETWEEN($E$14,$F$14)*$M$9)+$M$10+$M$18</f>
        <v>1424944.0925515993</v>
      </c>
      <c r="N84" s="37">
        <f t="shared" ref="N84" ca="1" si="47">NPV($E$23+$F$23,H84:M84)+$H$4</f>
        <v>1228167.7294197315</v>
      </c>
    </row>
    <row r="85" spans="4:14" x14ac:dyDescent="0.25">
      <c r="D85" s="33"/>
      <c r="E85" s="33">
        <v>55</v>
      </c>
      <c r="F85" s="37"/>
      <c r="G85" s="37"/>
      <c r="H85" s="37">
        <f t="shared" si="2"/>
        <v>868800</v>
      </c>
      <c r="I85" s="37">
        <f ca="1">(RANDBETWEEN($E$14,$F$14)*$I$9)+$I$10+$I$18</f>
        <v>-189819.59895313275</v>
      </c>
      <c r="J85" s="37">
        <f ca="1">(RANDBETWEEN($E$14,$F$14)*$J$9)+$J$10+$J$18</f>
        <v>-9238.8910066427197</v>
      </c>
      <c r="K85" s="37">
        <f ca="1">(RANDBETWEEN($E$14,$F$14)*$K$9)+$K$10+$K$18</f>
        <v>24363.532183028292</v>
      </c>
      <c r="L85" s="37">
        <f ca="1">(RANDBETWEEN($E$14,$F$14)*$L$9)+$L$10+$L$18</f>
        <v>671221.40421803342</v>
      </c>
      <c r="M85" s="37">
        <f ca="1">(RANDBETWEEN($E$14,$F$14)*$M$9)+$M$10+$M$18</f>
        <v>1043245.7659826493</v>
      </c>
      <c r="N85" s="37">
        <f t="shared" ref="N85" ca="1" si="48">NPV($E$23+$F$23,H85:M85)+$H$4</f>
        <v>912107.22314112843</v>
      </c>
    </row>
    <row r="86" spans="4:14" x14ac:dyDescent="0.25">
      <c r="D86" s="33"/>
      <c r="E86" s="33">
        <v>56</v>
      </c>
      <c r="F86" s="37"/>
      <c r="G86" s="37"/>
      <c r="H86" s="37">
        <f t="shared" si="2"/>
        <v>868800</v>
      </c>
      <c r="I86" s="37">
        <f ca="1">(RANDBETWEEN($E$14,$F$14)*$I$9)+$I$10+$I$18</f>
        <v>-189819.59895313275</v>
      </c>
      <c r="J86" s="37">
        <f ca="1">(RANDBETWEEN($E$14,$F$14)*$J$9)+$J$10+$J$18</f>
        <v>221933.48456383706</v>
      </c>
      <c r="K86" s="37">
        <f ca="1">(RANDBETWEEN($E$14,$F$14)*$K$9)+$K$10+$K$18</f>
        <v>24363.532183028292</v>
      </c>
      <c r="L86" s="37">
        <f ca="1">(RANDBETWEEN($E$14,$F$14)*$L$9)+$L$10+$L$18</f>
        <v>999716.39339203853</v>
      </c>
      <c r="M86" s="37">
        <f ca="1">(RANDBETWEEN($E$14,$F$14)*$M$9)+$M$10+$M$18</f>
        <v>1424944.0925515993</v>
      </c>
      <c r="N86" s="37">
        <f t="shared" ref="N86" ca="1" si="49">NPV($E$23+$F$23,H86:M86)+$H$4</f>
        <v>1654016.20062854</v>
      </c>
    </row>
    <row r="87" spans="4:14" x14ac:dyDescent="0.25">
      <c r="D87" s="33"/>
      <c r="E87" s="33">
        <v>57</v>
      </c>
      <c r="F87" s="37"/>
      <c r="G87" s="37"/>
      <c r="H87" s="37">
        <f t="shared" si="2"/>
        <v>868800</v>
      </c>
      <c r="I87" s="37">
        <f ca="1">(RANDBETWEEN($E$14,$F$14)*$I$9)+$I$10+$I$18</f>
        <v>-369472.96408399101</v>
      </c>
      <c r="J87" s="37">
        <f ca="1">(RANDBETWEEN($E$14,$F$14)*$J$9)+$J$10+$J$18</f>
        <v>-9238.8910066427197</v>
      </c>
      <c r="K87" s="37">
        <f ca="1">(RANDBETWEEN($E$14,$F$14)*$K$9)+$K$10+$K$18</f>
        <v>24363.532183028292</v>
      </c>
      <c r="L87" s="37">
        <f ca="1">(RANDBETWEEN($E$14,$F$14)*$L$9)+$L$10+$L$18</f>
        <v>671221.40421803342</v>
      </c>
      <c r="M87" s="37">
        <f ca="1">(RANDBETWEEN($E$14,$F$14)*$M$9)+$M$10+$M$18</f>
        <v>1424944.0925515993</v>
      </c>
      <c r="N87" s="37">
        <f t="shared" ref="N87" ca="1" si="50">NPV($E$23+$F$23,H87:M87)+$H$4</f>
        <v>1033985.4932194382</v>
      </c>
    </row>
    <row r="88" spans="4:14" x14ac:dyDescent="0.25">
      <c r="D88" s="33"/>
      <c r="E88" s="33">
        <v>58</v>
      </c>
      <c r="F88" s="37"/>
      <c r="G88" s="37"/>
      <c r="H88" s="37">
        <f t="shared" si="2"/>
        <v>868800</v>
      </c>
      <c r="I88" s="37">
        <f ca="1">(RANDBETWEEN($E$14,$F$14)*$I$9)+$I$10+$I$18</f>
        <v>-369472.96408399101</v>
      </c>
      <c r="J88" s="37">
        <f ca="1">(RANDBETWEEN($E$14,$F$14)*$J$9)+$J$10+$J$18</f>
        <v>221933.48456383706</v>
      </c>
      <c r="K88" s="37">
        <f ca="1">(RANDBETWEEN($E$14,$F$14)*$K$9)+$K$10+$K$18</f>
        <v>260393.25392346107</v>
      </c>
      <c r="L88" s="37">
        <f ca="1">(RANDBETWEEN($E$14,$F$14)*$L$9)+$L$10+$L$18</f>
        <v>671221.40421803342</v>
      </c>
      <c r="M88" s="37">
        <f ca="1">(RANDBETWEEN($E$14,$F$14)*$M$9)+$M$10+$M$18</f>
        <v>1424944.0925515993</v>
      </c>
      <c r="N88" s="37">
        <f t="shared" ref="N88" ca="1" si="51">NPV($E$23+$F$23,H88:M88)+$H$4</f>
        <v>1427863.1191793513</v>
      </c>
    </row>
    <row r="89" spans="4:14" x14ac:dyDescent="0.25">
      <c r="D89" s="33"/>
      <c r="E89" s="33">
        <v>59</v>
      </c>
      <c r="F89" s="37"/>
      <c r="G89" s="37"/>
      <c r="H89" s="37">
        <f t="shared" si="2"/>
        <v>868800</v>
      </c>
      <c r="I89" s="37">
        <f ca="1">(RANDBETWEEN($E$14,$F$14)*$I$9)+$I$10+$I$18</f>
        <v>-189819.59895313275</v>
      </c>
      <c r="J89" s="37">
        <f ca="1">(RANDBETWEEN($E$14,$F$14)*$J$9)+$J$10+$J$18</f>
        <v>221933.48456383706</v>
      </c>
      <c r="K89" s="37">
        <f ca="1">(RANDBETWEEN($E$14,$F$14)*$K$9)+$K$10+$K$18</f>
        <v>260393.25392346107</v>
      </c>
      <c r="L89" s="37">
        <f ca="1">(RANDBETWEEN($E$14,$F$14)*$L$9)+$L$10+$L$18</f>
        <v>999716.39339203853</v>
      </c>
      <c r="M89" s="37">
        <f ca="1">(RANDBETWEEN($E$14,$F$14)*$M$9)+$M$10+$M$18</f>
        <v>1424944.0925515993</v>
      </c>
      <c r="N89" s="37">
        <f t="shared" ref="N89" ca="1" si="52">NPV($E$23+$F$23,H89:M89)+$H$4</f>
        <v>1848198.4368288331</v>
      </c>
    </row>
    <row r="90" spans="4:14" x14ac:dyDescent="0.25">
      <c r="D90" s="33"/>
      <c r="E90" s="33">
        <v>60</v>
      </c>
      <c r="F90" s="37"/>
      <c r="G90" s="37"/>
      <c r="H90" s="37">
        <f t="shared" si="2"/>
        <v>868800</v>
      </c>
      <c r="I90" s="37">
        <f ca="1">(RANDBETWEEN($E$14,$F$14)*$I$9)+$I$10+$I$18</f>
        <v>-369472.96408399101</v>
      </c>
      <c r="J90" s="37">
        <f ca="1">(RANDBETWEEN($E$14,$F$14)*$J$9)+$J$10+$J$18</f>
        <v>221933.48456383706</v>
      </c>
      <c r="K90" s="37">
        <f ca="1">(RANDBETWEEN($E$14,$F$14)*$K$9)+$K$10+$K$18</f>
        <v>24363.532183028292</v>
      </c>
      <c r="L90" s="37">
        <f ca="1">(RANDBETWEEN($E$14,$F$14)*$L$9)+$L$10+$L$18</f>
        <v>999716.39339203853</v>
      </c>
      <c r="M90" s="37">
        <f ca="1">(RANDBETWEEN($E$14,$F$14)*$M$9)+$M$10+$M$18</f>
        <v>1424944.0925515993</v>
      </c>
      <c r="N90" s="37">
        <f t="shared" ref="N90" ca="1" si="53">NPV($E$23+$F$23,H90:M90)+$H$4</f>
        <v>1491065.3025506642</v>
      </c>
    </row>
    <row r="91" spans="4:14" x14ac:dyDescent="0.25">
      <c r="D91" s="33"/>
      <c r="E91" s="33">
        <v>61</v>
      </c>
      <c r="F91" s="37"/>
      <c r="G91" s="37"/>
      <c r="H91" s="37">
        <f t="shared" si="2"/>
        <v>868800</v>
      </c>
      <c r="I91" s="37">
        <f ca="1">(RANDBETWEEN($E$14,$F$14)*$I$9)+$I$10+$I$18</f>
        <v>-189819.59895313275</v>
      </c>
      <c r="J91" s="37">
        <f ca="1">(RANDBETWEEN($E$14,$F$14)*$J$9)+$J$10+$J$18</f>
        <v>221933.48456383706</v>
      </c>
      <c r="K91" s="37">
        <f ca="1">(RANDBETWEEN($E$14,$F$14)*$K$9)+$K$10+$K$18</f>
        <v>24363.532183028292</v>
      </c>
      <c r="L91" s="37">
        <f ca="1">(RANDBETWEEN($E$14,$F$14)*$L$9)+$L$10+$L$18</f>
        <v>671221.40421803342</v>
      </c>
      <c r="M91" s="37">
        <f ca="1">(RANDBETWEEN($E$14,$F$14)*$M$9)+$M$10+$M$18</f>
        <v>1043245.7659826493</v>
      </c>
      <c r="N91" s="37">
        <f t="shared" ref="N91" ca="1" si="54">NPV($E$23+$F$23,H91:M91)+$H$4</f>
        <v>1111802.6129007479</v>
      </c>
    </row>
    <row r="92" spans="4:14" x14ac:dyDescent="0.25">
      <c r="D92" s="33"/>
      <c r="E92" s="33">
        <v>62</v>
      </c>
      <c r="F92" s="37"/>
      <c r="G92" s="37"/>
      <c r="H92" s="37">
        <f t="shared" si="2"/>
        <v>868800</v>
      </c>
      <c r="I92" s="37">
        <f ca="1">(RANDBETWEEN($E$14,$F$14)*$I$9)+$I$10+$I$18</f>
        <v>-369472.96408399101</v>
      </c>
      <c r="J92" s="37">
        <f ca="1">(RANDBETWEEN($E$14,$F$14)*$J$9)+$J$10+$J$18</f>
        <v>221933.48456383706</v>
      </c>
      <c r="K92" s="37">
        <f ca="1">(RANDBETWEEN($E$14,$F$14)*$K$9)+$K$10+$K$18</f>
        <v>24363.532183028292</v>
      </c>
      <c r="L92" s="37">
        <f ca="1">(RANDBETWEEN($E$14,$F$14)*$L$9)+$L$10+$L$18</f>
        <v>999716.39339203853</v>
      </c>
      <c r="M92" s="37">
        <f ca="1">(RANDBETWEEN($E$14,$F$14)*$M$9)+$M$10+$M$18</f>
        <v>1424944.0925515993</v>
      </c>
      <c r="N92" s="37">
        <f t="shared" ref="N92" ca="1" si="55">NPV($E$23+$F$23,H92:M92)+$H$4</f>
        <v>1491065.3025506642</v>
      </c>
    </row>
    <row r="93" spans="4:14" x14ac:dyDescent="0.25">
      <c r="D93" s="33"/>
      <c r="E93" s="33">
        <v>63</v>
      </c>
      <c r="F93" s="37"/>
      <c r="G93" s="37"/>
      <c r="H93" s="37">
        <f t="shared" si="2"/>
        <v>868800</v>
      </c>
      <c r="I93" s="37">
        <f ca="1">(RANDBETWEEN($E$14,$F$14)*$I$9)+$I$10+$I$18</f>
        <v>-369472.96408399101</v>
      </c>
      <c r="J93" s="37">
        <f ca="1">(RANDBETWEEN($E$14,$F$14)*$J$9)+$J$10+$J$18</f>
        <v>-9238.8910066427197</v>
      </c>
      <c r="K93" s="37">
        <f ca="1">(RANDBETWEEN($E$14,$F$14)*$K$9)+$K$10+$K$18</f>
        <v>260393.25392346107</v>
      </c>
      <c r="L93" s="37">
        <f ca="1">(RANDBETWEEN($E$14,$F$14)*$L$9)+$L$10+$L$18</f>
        <v>999716.39339203853</v>
      </c>
      <c r="M93" s="37">
        <f ca="1">(RANDBETWEEN($E$14,$F$14)*$M$9)+$M$10+$M$18</f>
        <v>1043245.7659826493</v>
      </c>
      <c r="N93" s="37">
        <f t="shared" ref="N93" ca="1" si="56">NPV($E$23+$F$23,H93:M93)+$H$4</f>
        <v>1200722.9808351514</v>
      </c>
    </row>
    <row r="94" spans="4:14" x14ac:dyDescent="0.25">
      <c r="D94" s="33"/>
      <c r="E94" s="33">
        <v>64</v>
      </c>
      <c r="F94" s="37"/>
      <c r="G94" s="37"/>
      <c r="H94" s="37">
        <f t="shared" si="2"/>
        <v>868800</v>
      </c>
      <c r="I94" s="37">
        <f ca="1">(RANDBETWEEN($E$14,$F$14)*$I$9)+$I$10+$I$18</f>
        <v>-189819.59895313275</v>
      </c>
      <c r="J94" s="37">
        <f ca="1">(RANDBETWEEN($E$14,$F$14)*$J$9)+$J$10+$J$18</f>
        <v>-9238.8910066427197</v>
      </c>
      <c r="K94" s="37">
        <f ca="1">(RANDBETWEEN($E$14,$F$14)*$K$9)+$K$10+$K$18</f>
        <v>260393.25392346107</v>
      </c>
      <c r="L94" s="37">
        <f ca="1">(RANDBETWEEN($E$14,$F$14)*$L$9)+$L$10+$L$18</f>
        <v>999716.39339203853</v>
      </c>
      <c r="M94" s="37">
        <f ca="1">(RANDBETWEEN($E$14,$F$14)*$M$9)+$M$10+$M$18</f>
        <v>1043245.7659826493</v>
      </c>
      <c r="N94" s="37">
        <f t="shared" ref="N94" ca="1" si="57">NPV($E$23+$F$23,H94:M94)+$H$4</f>
        <v>1363673.8789130282</v>
      </c>
    </row>
    <row r="95" spans="4:14" x14ac:dyDescent="0.25">
      <c r="D95" s="33"/>
      <c r="E95" s="33">
        <v>65</v>
      </c>
      <c r="F95" s="37"/>
      <c r="G95" s="37"/>
      <c r="H95" s="37">
        <f t="shared" si="2"/>
        <v>868800</v>
      </c>
      <c r="I95" s="37">
        <f ca="1">(RANDBETWEEN($E$14,$F$14)*$I$9)+$I$10+$I$18</f>
        <v>-369472.96408399101</v>
      </c>
      <c r="J95" s="37">
        <f ca="1">(RANDBETWEEN($E$14,$F$14)*$J$9)+$J$10+$J$18</f>
        <v>-9238.8910066427197</v>
      </c>
      <c r="K95" s="37">
        <f ca="1">(RANDBETWEEN($E$14,$F$14)*$K$9)+$K$10+$K$18</f>
        <v>24363.532183028292</v>
      </c>
      <c r="L95" s="37">
        <f ca="1">(RANDBETWEEN($E$14,$F$14)*$L$9)+$L$10+$L$18</f>
        <v>671221.40421803342</v>
      </c>
      <c r="M95" s="37">
        <f ca="1">(RANDBETWEEN($E$14,$F$14)*$M$9)+$M$10+$M$18</f>
        <v>1424944.0925515993</v>
      </c>
      <c r="N95" s="37">
        <f t="shared" ref="N95" ca="1" si="58">NPV($E$23+$F$23,H95:M95)+$H$4</f>
        <v>1033985.4932194382</v>
      </c>
    </row>
    <row r="96" spans="4:14" x14ac:dyDescent="0.25">
      <c r="D96" s="33"/>
      <c r="E96" s="33">
        <v>66</v>
      </c>
      <c r="F96" s="37"/>
      <c r="G96" s="37"/>
      <c r="H96" s="37">
        <f t="shared" si="2"/>
        <v>868800</v>
      </c>
      <c r="I96" s="37">
        <f ca="1">(RANDBETWEEN($E$14,$F$14)*$I$9)+$I$10+$I$18</f>
        <v>-369472.96408399101</v>
      </c>
      <c r="J96" s="37">
        <f ca="1">(RANDBETWEEN($E$14,$F$14)*$J$9)+$J$10+$J$18</f>
        <v>-9238.8910066427197</v>
      </c>
      <c r="K96" s="37">
        <f ca="1">(RANDBETWEEN($E$14,$F$14)*$K$9)+$K$10+$K$18</f>
        <v>260393.25392346107</v>
      </c>
      <c r="L96" s="37">
        <f ca="1">(RANDBETWEEN($E$14,$F$14)*$L$9)+$L$10+$L$18</f>
        <v>671221.40421803342</v>
      </c>
      <c r="M96" s="37">
        <f ca="1">(RANDBETWEEN($E$14,$F$14)*$M$9)+$M$10+$M$18</f>
        <v>1424944.0925515993</v>
      </c>
      <c r="N96" s="37">
        <f t="shared" ref="N96" ca="1" si="59">NPV($E$23+$F$23,H96:M96)+$H$4</f>
        <v>1228167.7294197315</v>
      </c>
    </row>
    <row r="97" spans="4:14" x14ac:dyDescent="0.25">
      <c r="D97" s="33"/>
      <c r="E97" s="33">
        <v>67</v>
      </c>
      <c r="F97" s="37"/>
      <c r="G97" s="37"/>
      <c r="H97" s="37">
        <f t="shared" si="2"/>
        <v>868800</v>
      </c>
      <c r="I97" s="37">
        <f ca="1">(RANDBETWEEN($E$14,$F$14)*$I$9)+$I$10+$I$18</f>
        <v>-189819.59895313275</v>
      </c>
      <c r="J97" s="37">
        <f ca="1">(RANDBETWEEN($E$14,$F$14)*$J$9)+$J$10+$J$18</f>
        <v>221933.48456383706</v>
      </c>
      <c r="K97" s="37">
        <f ca="1">(RANDBETWEEN($E$14,$F$14)*$K$9)+$K$10+$K$18</f>
        <v>24363.532183028292</v>
      </c>
      <c r="L97" s="37">
        <f ca="1">(RANDBETWEEN($E$14,$F$14)*$L$9)+$L$10+$L$18</f>
        <v>671221.40421803342</v>
      </c>
      <c r="M97" s="37">
        <f ca="1">(RANDBETWEEN($E$14,$F$14)*$M$9)+$M$10+$M$18</f>
        <v>1424944.0925515993</v>
      </c>
      <c r="N97" s="37">
        <f t="shared" ref="N97" ca="1" si="60">NPV($E$23+$F$23,H97:M97)+$H$4</f>
        <v>1396631.7810569336</v>
      </c>
    </row>
    <row r="98" spans="4:14" x14ac:dyDescent="0.25">
      <c r="D98" s="33"/>
      <c r="E98" s="33">
        <v>68</v>
      </c>
      <c r="F98" s="37"/>
      <c r="G98" s="37"/>
      <c r="H98" s="37">
        <f t="shared" si="2"/>
        <v>868800</v>
      </c>
      <c r="I98" s="37">
        <f ca="1">(RANDBETWEEN($E$14,$F$14)*$I$9)+$I$10+$I$18</f>
        <v>-189819.59895313275</v>
      </c>
      <c r="J98" s="37">
        <f ca="1">(RANDBETWEEN($E$14,$F$14)*$J$9)+$J$10+$J$18</f>
        <v>221933.48456383706</v>
      </c>
      <c r="K98" s="37">
        <f ca="1">(RANDBETWEEN($E$14,$F$14)*$K$9)+$K$10+$K$18</f>
        <v>260393.25392346107</v>
      </c>
      <c r="L98" s="37">
        <f ca="1">(RANDBETWEEN($E$14,$F$14)*$L$9)+$L$10+$L$18</f>
        <v>999716.39339203853</v>
      </c>
      <c r="M98" s="37">
        <f ca="1">(RANDBETWEEN($E$14,$F$14)*$M$9)+$M$10+$M$18</f>
        <v>1043245.7659826493</v>
      </c>
      <c r="N98" s="37">
        <f t="shared" ref="N98" ca="1" si="61">NPV($E$23+$F$23,H98:M98)+$H$4</f>
        <v>1563369.2686726474</v>
      </c>
    </row>
    <row r="99" spans="4:14" x14ac:dyDescent="0.25">
      <c r="D99" s="33"/>
      <c r="E99" s="33">
        <v>69</v>
      </c>
      <c r="F99" s="37"/>
      <c r="G99" s="37"/>
      <c r="H99" s="37">
        <f t="shared" si="2"/>
        <v>868800</v>
      </c>
      <c r="I99" s="37">
        <f ca="1">(RANDBETWEEN($E$14,$F$14)*$I$9)+$I$10+$I$18</f>
        <v>-189819.59895313275</v>
      </c>
      <c r="J99" s="37">
        <f ca="1">(RANDBETWEEN($E$14,$F$14)*$J$9)+$J$10+$J$18</f>
        <v>221933.48456383706</v>
      </c>
      <c r="K99" s="37">
        <f ca="1">(RANDBETWEEN($E$14,$F$14)*$K$9)+$K$10+$K$18</f>
        <v>24363.532183028292</v>
      </c>
      <c r="L99" s="37">
        <f ca="1">(RANDBETWEEN($E$14,$F$14)*$L$9)+$L$10+$L$18</f>
        <v>999716.39339203853</v>
      </c>
      <c r="M99" s="37">
        <f ca="1">(RANDBETWEEN($E$14,$F$14)*$M$9)+$M$10+$M$18</f>
        <v>1043245.7659826493</v>
      </c>
      <c r="N99" s="37">
        <f t="shared" ref="N99" ca="1" si="62">NPV($E$23+$F$23,H99:M99)+$H$4</f>
        <v>1369187.0324723539</v>
      </c>
    </row>
    <row r="100" spans="4:14" x14ac:dyDescent="0.25">
      <c r="D100" s="33"/>
      <c r="E100" s="33">
        <v>70</v>
      </c>
      <c r="F100" s="37"/>
      <c r="G100" s="37"/>
      <c r="H100" s="37">
        <f t="shared" si="2"/>
        <v>868800</v>
      </c>
      <c r="I100" s="37">
        <f ca="1">(RANDBETWEEN($E$14,$F$14)*$I$9)+$I$10+$I$18</f>
        <v>-189819.59895313275</v>
      </c>
      <c r="J100" s="37">
        <f ca="1">(RANDBETWEEN($E$14,$F$14)*$J$9)+$J$10+$J$18</f>
        <v>-9238.8910066427197</v>
      </c>
      <c r="K100" s="37">
        <f ca="1">(RANDBETWEEN($E$14,$F$14)*$K$9)+$K$10+$K$18</f>
        <v>260393.25392346107</v>
      </c>
      <c r="L100" s="37">
        <f ca="1">(RANDBETWEEN($E$14,$F$14)*$L$9)+$L$10+$L$18</f>
        <v>671221.40421803342</v>
      </c>
      <c r="M100" s="37">
        <f ca="1">(RANDBETWEEN($E$14,$F$14)*$M$9)+$M$10+$M$18</f>
        <v>1424944.0925515993</v>
      </c>
      <c r="N100" s="37">
        <f t="shared" ref="N100" ca="1" si="63">NPV($E$23+$F$23,H100:M100)+$H$4</f>
        <v>1391118.6274976074</v>
      </c>
    </row>
    <row r="101" spans="4:14" x14ac:dyDescent="0.25">
      <c r="D101" s="33"/>
      <c r="E101" s="33">
        <v>71</v>
      </c>
      <c r="F101" s="37"/>
      <c r="G101" s="37"/>
      <c r="H101" s="37">
        <f t="shared" si="2"/>
        <v>868800</v>
      </c>
      <c r="I101" s="37">
        <f ca="1">(RANDBETWEEN($E$14,$F$14)*$I$9)+$I$10+$I$18</f>
        <v>-369472.96408399101</v>
      </c>
      <c r="J101" s="37">
        <f ca="1">(RANDBETWEEN($E$14,$F$14)*$J$9)+$J$10+$J$18</f>
        <v>221933.48456383706</v>
      </c>
      <c r="K101" s="37">
        <f ca="1">(RANDBETWEEN($E$14,$F$14)*$K$9)+$K$10+$K$18</f>
        <v>24363.532183028292</v>
      </c>
      <c r="L101" s="37">
        <f ca="1">(RANDBETWEEN($E$14,$F$14)*$L$9)+$L$10+$L$18</f>
        <v>671221.40421803342</v>
      </c>
      <c r="M101" s="37">
        <f ca="1">(RANDBETWEEN($E$14,$F$14)*$M$9)+$M$10+$M$18</f>
        <v>1043245.7659826493</v>
      </c>
      <c r="N101" s="37">
        <f t="shared" ref="N101" ca="1" si="64">NPV($E$23+$F$23,H101:M101)+$H$4</f>
        <v>948851.71482287208</v>
      </c>
    </row>
    <row r="102" spans="4:14" x14ac:dyDescent="0.25">
      <c r="D102" s="33"/>
      <c r="E102" s="33">
        <v>72</v>
      </c>
      <c r="F102" s="37"/>
      <c r="G102" s="37"/>
      <c r="H102" s="37">
        <f t="shared" si="2"/>
        <v>868800</v>
      </c>
      <c r="I102" s="37">
        <f ca="1">(RANDBETWEEN($E$14,$F$14)*$I$9)+$I$10+$I$18</f>
        <v>-189819.59895313275</v>
      </c>
      <c r="J102" s="37">
        <f ca="1">(RANDBETWEEN($E$14,$F$14)*$J$9)+$J$10+$J$18</f>
        <v>-9238.8910066427197</v>
      </c>
      <c r="K102" s="37">
        <f ca="1">(RANDBETWEEN($E$14,$F$14)*$K$9)+$K$10+$K$18</f>
        <v>260393.25392346107</v>
      </c>
      <c r="L102" s="37">
        <f ca="1">(RANDBETWEEN($E$14,$F$14)*$L$9)+$L$10+$L$18</f>
        <v>671221.40421803342</v>
      </c>
      <c r="M102" s="37">
        <f ca="1">(RANDBETWEEN($E$14,$F$14)*$M$9)+$M$10+$M$18</f>
        <v>1424944.0925515993</v>
      </c>
      <c r="N102" s="37">
        <f t="shared" ref="N102" ca="1" si="65">NPV($E$23+$F$23,H102:M102)+$H$4</f>
        <v>1391118.6274976074</v>
      </c>
    </row>
    <row r="103" spans="4:14" x14ac:dyDescent="0.25">
      <c r="D103" s="33"/>
      <c r="E103" s="33">
        <v>73</v>
      </c>
      <c r="F103" s="37"/>
      <c r="G103" s="37"/>
      <c r="H103" s="37">
        <f t="shared" si="2"/>
        <v>868800</v>
      </c>
      <c r="I103" s="37">
        <f ca="1">(RANDBETWEEN($E$14,$F$14)*$I$9)+$I$10+$I$18</f>
        <v>-369472.96408399101</v>
      </c>
      <c r="J103" s="37">
        <f ca="1">(RANDBETWEEN($E$14,$F$14)*$J$9)+$J$10+$J$18</f>
        <v>221933.48456383706</v>
      </c>
      <c r="K103" s="37">
        <f ca="1">(RANDBETWEEN($E$14,$F$14)*$K$9)+$K$10+$K$18</f>
        <v>260393.25392346107</v>
      </c>
      <c r="L103" s="37">
        <f ca="1">(RANDBETWEEN($E$14,$F$14)*$L$9)+$L$10+$L$18</f>
        <v>999716.39339203853</v>
      </c>
      <c r="M103" s="37">
        <f ca="1">(RANDBETWEEN($E$14,$F$14)*$M$9)+$M$10+$M$18</f>
        <v>1043245.7659826493</v>
      </c>
      <c r="N103" s="37">
        <f t="shared" ref="N103" ca="1" si="66">NPV($E$23+$F$23,H103:M103)+$H$4</f>
        <v>1400418.3705947716</v>
      </c>
    </row>
    <row r="104" spans="4:14" x14ac:dyDescent="0.25">
      <c r="D104" s="33"/>
      <c r="E104" s="33">
        <v>74</v>
      </c>
      <c r="F104" s="37"/>
      <c r="G104" s="37"/>
      <c r="H104" s="37">
        <f t="shared" si="2"/>
        <v>868800</v>
      </c>
      <c r="I104" s="37">
        <f ca="1">(RANDBETWEEN($E$14,$F$14)*$I$9)+$I$10+$I$18</f>
        <v>-369472.96408399101</v>
      </c>
      <c r="J104" s="37">
        <f ca="1">(RANDBETWEEN($E$14,$F$14)*$J$9)+$J$10+$J$18</f>
        <v>221933.48456383706</v>
      </c>
      <c r="K104" s="37">
        <f ca="1">(RANDBETWEEN($E$14,$F$14)*$K$9)+$K$10+$K$18</f>
        <v>260393.25392346107</v>
      </c>
      <c r="L104" s="37">
        <f ca="1">(RANDBETWEEN($E$14,$F$14)*$L$9)+$L$10+$L$18</f>
        <v>999716.39339203853</v>
      </c>
      <c r="M104" s="37">
        <f ca="1">(RANDBETWEEN($E$14,$F$14)*$M$9)+$M$10+$M$18</f>
        <v>1424944.0925515993</v>
      </c>
      <c r="N104" s="37">
        <f t="shared" ref="N104" ca="1" si="67">NPV($E$23+$F$23,H104:M104)+$H$4</f>
        <v>1685247.5387509572</v>
      </c>
    </row>
    <row r="105" spans="4:14" x14ac:dyDescent="0.25">
      <c r="D105" s="33"/>
      <c r="E105" s="33">
        <v>75</v>
      </c>
      <c r="F105" s="37"/>
      <c r="G105" s="37"/>
      <c r="H105" s="37">
        <f t="shared" si="2"/>
        <v>868800</v>
      </c>
      <c r="I105" s="37">
        <f ca="1">(RANDBETWEEN($E$14,$F$14)*$I$9)+$I$10+$I$18</f>
        <v>-369472.96408399101</v>
      </c>
      <c r="J105" s="37">
        <f ca="1">(RANDBETWEEN($E$14,$F$14)*$J$9)+$J$10+$J$18</f>
        <v>-9238.8910066427197</v>
      </c>
      <c r="K105" s="37">
        <f ca="1">(RANDBETWEEN($E$14,$F$14)*$K$9)+$K$10+$K$18</f>
        <v>260393.25392346107</v>
      </c>
      <c r="L105" s="37">
        <f ca="1">(RANDBETWEEN($E$14,$F$14)*$L$9)+$L$10+$L$18</f>
        <v>999716.39339203853</v>
      </c>
      <c r="M105" s="37">
        <f ca="1">(RANDBETWEEN($E$14,$F$14)*$M$9)+$M$10+$M$18</f>
        <v>1424944.0925515993</v>
      </c>
      <c r="N105" s="37">
        <f t="shared" ref="N105" ca="1" si="68">NPV($E$23+$F$23,H105:M105)+$H$4</f>
        <v>1485552.1489913375</v>
      </c>
    </row>
    <row r="106" spans="4:14" x14ac:dyDescent="0.25">
      <c r="D106" s="33"/>
      <c r="E106" s="33">
        <v>76</v>
      </c>
      <c r="F106" s="37"/>
      <c r="G106" s="37"/>
      <c r="H106" s="37">
        <f t="shared" si="2"/>
        <v>868800</v>
      </c>
      <c r="I106" s="37">
        <f ca="1">(RANDBETWEEN($E$14,$F$14)*$I$9)+$I$10+$I$18</f>
        <v>-369472.96408399101</v>
      </c>
      <c r="J106" s="37">
        <f ca="1">(RANDBETWEEN($E$14,$F$14)*$J$9)+$J$10+$J$18</f>
        <v>221933.48456383706</v>
      </c>
      <c r="K106" s="37">
        <f ca="1">(RANDBETWEEN($E$14,$F$14)*$K$9)+$K$10+$K$18</f>
        <v>260393.25392346107</v>
      </c>
      <c r="L106" s="37">
        <f ca="1">(RANDBETWEEN($E$14,$F$14)*$L$9)+$L$10+$L$18</f>
        <v>671221.40421803342</v>
      </c>
      <c r="M106" s="37">
        <f ca="1">(RANDBETWEEN($E$14,$F$14)*$M$9)+$M$10+$M$18</f>
        <v>1043245.7659826493</v>
      </c>
      <c r="N106" s="37">
        <f t="shared" ref="N106" ca="1" si="69">NPV($E$23+$F$23,H106:M106)+$H$4</f>
        <v>1143033.9510231656</v>
      </c>
    </row>
    <row r="107" spans="4:14" x14ac:dyDescent="0.25">
      <c r="D107" s="33"/>
      <c r="E107" s="33">
        <v>77</v>
      </c>
      <c r="F107" s="37"/>
      <c r="G107" s="37"/>
      <c r="H107" s="37">
        <f t="shared" si="2"/>
        <v>868800</v>
      </c>
      <c r="I107" s="37">
        <f ca="1">(RANDBETWEEN($E$14,$F$14)*$I$9)+$I$10+$I$18</f>
        <v>-369472.96408399101</v>
      </c>
      <c r="J107" s="37">
        <f ca="1">(RANDBETWEEN($E$14,$F$14)*$J$9)+$J$10+$J$18</f>
        <v>221933.48456383706</v>
      </c>
      <c r="K107" s="37">
        <f ca="1">(RANDBETWEEN($E$14,$F$14)*$K$9)+$K$10+$K$18</f>
        <v>24363.532183028292</v>
      </c>
      <c r="L107" s="37">
        <f ca="1">(RANDBETWEEN($E$14,$F$14)*$L$9)+$L$10+$L$18</f>
        <v>999716.39339203853</v>
      </c>
      <c r="M107" s="37">
        <f ca="1">(RANDBETWEEN($E$14,$F$14)*$M$9)+$M$10+$M$18</f>
        <v>1424944.0925515993</v>
      </c>
      <c r="N107" s="37">
        <f t="shared" ref="N107" ca="1" si="70">NPV($E$23+$F$23,H107:M107)+$H$4</f>
        <v>1491065.3025506642</v>
      </c>
    </row>
    <row r="108" spans="4:14" x14ac:dyDescent="0.25">
      <c r="D108" s="33"/>
      <c r="E108" s="33">
        <v>78</v>
      </c>
      <c r="F108" s="37"/>
      <c r="G108" s="37"/>
      <c r="H108" s="37">
        <f t="shared" si="2"/>
        <v>868800</v>
      </c>
      <c r="I108" s="37">
        <f ca="1">(RANDBETWEEN($E$14,$F$14)*$I$9)+$I$10+$I$18</f>
        <v>-369472.96408399101</v>
      </c>
      <c r="J108" s="37">
        <f ca="1">(RANDBETWEEN($E$14,$F$14)*$J$9)+$J$10+$J$18</f>
        <v>221933.48456383706</v>
      </c>
      <c r="K108" s="37">
        <f ca="1">(RANDBETWEEN($E$14,$F$14)*$K$9)+$K$10+$K$18</f>
        <v>260393.25392346107</v>
      </c>
      <c r="L108" s="37">
        <f ca="1">(RANDBETWEEN($E$14,$F$14)*$L$9)+$L$10+$L$18</f>
        <v>999716.39339203853</v>
      </c>
      <c r="M108" s="37">
        <f ca="1">(RANDBETWEEN($E$14,$F$14)*$M$9)+$M$10+$M$18</f>
        <v>1043245.7659826493</v>
      </c>
      <c r="N108" s="37">
        <f t="shared" ref="N108" ca="1" si="71">NPV($E$23+$F$23,H108:M108)+$H$4</f>
        <v>1400418.3705947716</v>
      </c>
    </row>
    <row r="109" spans="4:14" x14ac:dyDescent="0.25">
      <c r="D109" s="33"/>
      <c r="E109" s="33">
        <v>79</v>
      </c>
      <c r="F109" s="37"/>
      <c r="G109" s="37"/>
      <c r="H109" s="37">
        <f t="shared" si="2"/>
        <v>868800</v>
      </c>
      <c r="I109" s="37">
        <f ca="1">(RANDBETWEEN($E$14,$F$14)*$I$9)+$I$10+$I$18</f>
        <v>-189819.59895313275</v>
      </c>
      <c r="J109" s="37">
        <f ca="1">(RANDBETWEEN($E$14,$F$14)*$J$9)+$J$10+$J$18</f>
        <v>221933.48456383706</v>
      </c>
      <c r="K109" s="37">
        <f ca="1">(RANDBETWEEN($E$14,$F$14)*$K$9)+$K$10+$K$18</f>
        <v>260393.25392346107</v>
      </c>
      <c r="L109" s="37">
        <f ca="1">(RANDBETWEEN($E$14,$F$14)*$L$9)+$L$10+$L$18</f>
        <v>999716.39339203853</v>
      </c>
      <c r="M109" s="37">
        <f ca="1">(RANDBETWEEN($E$14,$F$14)*$M$9)+$M$10+$M$18</f>
        <v>1043245.7659826493</v>
      </c>
      <c r="N109" s="37">
        <f t="shared" ref="N109" ca="1" si="72">NPV($E$23+$F$23,H109:M109)+$H$4</f>
        <v>1563369.2686726474</v>
      </c>
    </row>
    <row r="110" spans="4:14" x14ac:dyDescent="0.25">
      <c r="D110" s="33"/>
      <c r="E110" s="33">
        <v>80</v>
      </c>
      <c r="F110" s="37"/>
      <c r="G110" s="37"/>
      <c r="H110" s="37">
        <f t="shared" si="2"/>
        <v>868800</v>
      </c>
      <c r="I110" s="37">
        <f ca="1">(RANDBETWEEN($E$14,$F$14)*$I$9)+$I$10+$I$18</f>
        <v>-369472.96408399101</v>
      </c>
      <c r="J110" s="37">
        <f ca="1">(RANDBETWEEN($E$14,$F$14)*$J$9)+$J$10+$J$18</f>
        <v>221933.48456383706</v>
      </c>
      <c r="K110" s="37">
        <f ca="1">(RANDBETWEEN($E$14,$F$14)*$K$9)+$K$10+$K$18</f>
        <v>24363.532183028292</v>
      </c>
      <c r="L110" s="37">
        <f ca="1">(RANDBETWEEN($E$14,$F$14)*$L$9)+$L$10+$L$18</f>
        <v>671221.40421803342</v>
      </c>
      <c r="M110" s="37">
        <f ca="1">(RANDBETWEEN($E$14,$F$14)*$M$9)+$M$10+$M$18</f>
        <v>1424944.0925515993</v>
      </c>
      <c r="N110" s="37">
        <f t="shared" ref="N110" ca="1" si="73">NPV($E$23+$F$23,H110:M110)+$H$4</f>
        <v>1233680.8829790577</v>
      </c>
    </row>
    <row r="111" spans="4:14" x14ac:dyDescent="0.25">
      <c r="D111" s="33"/>
      <c r="E111" s="33">
        <v>81</v>
      </c>
      <c r="F111" s="37"/>
      <c r="G111" s="37"/>
      <c r="H111" s="37">
        <f t="shared" si="2"/>
        <v>868800</v>
      </c>
      <c r="I111" s="37">
        <f ca="1">(RANDBETWEEN($E$14,$F$14)*$I$9)+$I$10+$I$18</f>
        <v>-369472.96408399101</v>
      </c>
      <c r="J111" s="37">
        <f ca="1">(RANDBETWEEN($E$14,$F$14)*$J$9)+$J$10+$J$18</f>
        <v>-9238.8910066427197</v>
      </c>
      <c r="K111" s="37">
        <f ca="1">(RANDBETWEEN($E$14,$F$14)*$K$9)+$K$10+$K$18</f>
        <v>24363.532183028292</v>
      </c>
      <c r="L111" s="37">
        <f ca="1">(RANDBETWEEN($E$14,$F$14)*$L$9)+$L$10+$L$18</f>
        <v>999716.39339203853</v>
      </c>
      <c r="M111" s="37">
        <f ca="1">(RANDBETWEEN($E$14,$F$14)*$M$9)+$M$10+$M$18</f>
        <v>1424944.0925515993</v>
      </c>
      <c r="N111" s="37">
        <f t="shared" ref="N111" ca="1" si="74">NPV($E$23+$F$23,H111:M111)+$H$4</f>
        <v>1291369.9127910445</v>
      </c>
    </row>
    <row r="112" spans="4:14" x14ac:dyDescent="0.25">
      <c r="D112" s="33"/>
      <c r="E112" s="33">
        <v>82</v>
      </c>
      <c r="F112" s="37"/>
      <c r="G112" s="37"/>
      <c r="H112" s="37">
        <f t="shared" si="2"/>
        <v>868800</v>
      </c>
      <c r="I112" s="37">
        <f ca="1">(RANDBETWEEN($E$14,$F$14)*$I$9)+$I$10+$I$18</f>
        <v>-369472.96408399101</v>
      </c>
      <c r="J112" s="37">
        <f ca="1">(RANDBETWEEN($E$14,$F$14)*$J$9)+$J$10+$J$18</f>
        <v>-9238.8910066427197</v>
      </c>
      <c r="K112" s="37">
        <f ca="1">(RANDBETWEEN($E$14,$F$14)*$K$9)+$K$10+$K$18</f>
        <v>260393.25392346107</v>
      </c>
      <c r="L112" s="37">
        <f ca="1">(RANDBETWEEN($E$14,$F$14)*$L$9)+$L$10+$L$18</f>
        <v>999716.39339203853</v>
      </c>
      <c r="M112" s="37">
        <f ca="1">(RANDBETWEEN($E$14,$F$14)*$M$9)+$M$10+$M$18</f>
        <v>1043245.7659826493</v>
      </c>
      <c r="N112" s="37">
        <f t="shared" ref="N112" ca="1" si="75">NPV($E$23+$F$23,H112:M112)+$H$4</f>
        <v>1200722.9808351514</v>
      </c>
    </row>
    <row r="113" spans="4:14" x14ac:dyDescent="0.25">
      <c r="D113" s="33"/>
      <c r="E113" s="33">
        <v>83</v>
      </c>
      <c r="F113" s="37"/>
      <c r="G113" s="37"/>
      <c r="H113" s="37">
        <f t="shared" si="2"/>
        <v>868800</v>
      </c>
      <c r="I113" s="37">
        <f ca="1">(RANDBETWEEN($E$14,$F$14)*$I$9)+$I$10+$I$18</f>
        <v>-189819.59895313275</v>
      </c>
      <c r="J113" s="37">
        <f ca="1">(RANDBETWEEN($E$14,$F$14)*$J$9)+$J$10+$J$18</f>
        <v>221933.48456383706</v>
      </c>
      <c r="K113" s="37">
        <f ca="1">(RANDBETWEEN($E$14,$F$14)*$K$9)+$K$10+$K$18</f>
        <v>260393.25392346107</v>
      </c>
      <c r="L113" s="37">
        <f ca="1">(RANDBETWEEN($E$14,$F$14)*$L$9)+$L$10+$L$18</f>
        <v>671221.40421803342</v>
      </c>
      <c r="M113" s="37">
        <f ca="1">(RANDBETWEEN($E$14,$F$14)*$M$9)+$M$10+$M$18</f>
        <v>1424944.0925515993</v>
      </c>
      <c r="N113" s="37">
        <f t="shared" ref="N113" ca="1" si="76">NPV($E$23+$F$23,H113:M113)+$H$4</f>
        <v>1590814.0172572271</v>
      </c>
    </row>
    <row r="114" spans="4:14" x14ac:dyDescent="0.25">
      <c r="D114" s="33"/>
      <c r="E114" s="33">
        <v>84</v>
      </c>
      <c r="F114" s="37"/>
      <c r="G114" s="37"/>
      <c r="H114" s="37">
        <f t="shared" si="2"/>
        <v>868800</v>
      </c>
      <c r="I114" s="37">
        <f ca="1">(RANDBETWEEN($E$14,$F$14)*$I$9)+$I$10+$I$18</f>
        <v>-189819.59895313275</v>
      </c>
      <c r="J114" s="37">
        <f ca="1">(RANDBETWEEN($E$14,$F$14)*$J$9)+$J$10+$J$18</f>
        <v>221933.48456383706</v>
      </c>
      <c r="K114" s="37">
        <f ca="1">(RANDBETWEEN($E$14,$F$14)*$K$9)+$K$10+$K$18</f>
        <v>260393.25392346107</v>
      </c>
      <c r="L114" s="37">
        <f ca="1">(RANDBETWEEN($E$14,$F$14)*$L$9)+$L$10+$L$18</f>
        <v>671221.40421803342</v>
      </c>
      <c r="M114" s="37">
        <f ca="1">(RANDBETWEEN($E$14,$F$14)*$M$9)+$M$10+$M$18</f>
        <v>1424944.0925515993</v>
      </c>
      <c r="N114" s="37">
        <f t="shared" ref="N114" ca="1" si="77">NPV($E$23+$F$23,H114:M114)+$H$4</f>
        <v>1590814.0172572271</v>
      </c>
    </row>
    <row r="115" spans="4:14" x14ac:dyDescent="0.25">
      <c r="D115" s="33"/>
      <c r="E115" s="33">
        <v>85</v>
      </c>
      <c r="F115" s="37"/>
      <c r="G115" s="37"/>
      <c r="H115" s="37">
        <f t="shared" si="2"/>
        <v>868800</v>
      </c>
      <c r="I115" s="37">
        <f ca="1">(RANDBETWEEN($E$14,$F$14)*$I$9)+$I$10+$I$18</f>
        <v>-189819.59895313275</v>
      </c>
      <c r="J115" s="37">
        <f ca="1">(RANDBETWEEN($E$14,$F$14)*$J$9)+$J$10+$J$18</f>
        <v>221933.48456383706</v>
      </c>
      <c r="K115" s="37">
        <f ca="1">(RANDBETWEEN($E$14,$F$14)*$K$9)+$K$10+$K$18</f>
        <v>24363.532183028292</v>
      </c>
      <c r="L115" s="37">
        <f ca="1">(RANDBETWEEN($E$14,$F$14)*$L$9)+$L$10+$L$18</f>
        <v>671221.40421803342</v>
      </c>
      <c r="M115" s="37">
        <f ca="1">(RANDBETWEEN($E$14,$F$14)*$M$9)+$M$10+$M$18</f>
        <v>1043245.7659826493</v>
      </c>
      <c r="N115" s="37">
        <f t="shared" ref="N115" ca="1" si="78">NPV($E$23+$F$23,H115:M115)+$H$4</f>
        <v>1111802.6129007479</v>
      </c>
    </row>
    <row r="116" spans="4:14" x14ac:dyDescent="0.25">
      <c r="D116" s="33"/>
      <c r="E116" s="33">
        <v>86</v>
      </c>
      <c r="F116" s="37"/>
      <c r="G116" s="37"/>
      <c r="H116" s="37">
        <f t="shared" si="2"/>
        <v>868800</v>
      </c>
      <c r="I116" s="37">
        <f ca="1">(RANDBETWEEN($E$14,$F$14)*$I$9)+$I$10+$I$18</f>
        <v>-369472.96408399101</v>
      </c>
      <c r="J116" s="37">
        <f ca="1">(RANDBETWEEN($E$14,$F$14)*$J$9)+$J$10+$J$18</f>
        <v>-9238.8910066427197</v>
      </c>
      <c r="K116" s="37">
        <f ca="1">(RANDBETWEEN($E$14,$F$14)*$K$9)+$K$10+$K$18</f>
        <v>260393.25392346107</v>
      </c>
      <c r="L116" s="37">
        <f ca="1">(RANDBETWEEN($E$14,$F$14)*$L$9)+$L$10+$L$18</f>
        <v>999716.39339203853</v>
      </c>
      <c r="M116" s="37">
        <f ca="1">(RANDBETWEEN($E$14,$F$14)*$M$9)+$M$10+$M$18</f>
        <v>1043245.7659826493</v>
      </c>
      <c r="N116" s="37">
        <f t="shared" ref="N116" ca="1" si="79">NPV($E$23+$F$23,H116:M116)+$H$4</f>
        <v>1200722.9808351514</v>
      </c>
    </row>
    <row r="117" spans="4:14" x14ac:dyDescent="0.25">
      <c r="D117" s="33"/>
      <c r="E117" s="33">
        <v>87</v>
      </c>
      <c r="F117" s="37"/>
      <c r="G117" s="37"/>
      <c r="H117" s="37">
        <f t="shared" si="2"/>
        <v>868800</v>
      </c>
      <c r="I117" s="37">
        <f ca="1">(RANDBETWEEN($E$14,$F$14)*$I$9)+$I$10+$I$18</f>
        <v>-369472.96408399101</v>
      </c>
      <c r="J117" s="37">
        <f ca="1">(RANDBETWEEN($E$14,$F$14)*$J$9)+$J$10+$J$18</f>
        <v>221933.48456383706</v>
      </c>
      <c r="K117" s="37">
        <f ca="1">(RANDBETWEEN($E$14,$F$14)*$K$9)+$K$10+$K$18</f>
        <v>260393.25392346107</v>
      </c>
      <c r="L117" s="37">
        <f ca="1">(RANDBETWEEN($E$14,$F$14)*$L$9)+$L$10+$L$18</f>
        <v>671221.40421803342</v>
      </c>
      <c r="M117" s="37">
        <f ca="1">(RANDBETWEEN($E$14,$F$14)*$M$9)+$M$10+$M$18</f>
        <v>1043245.7659826493</v>
      </c>
      <c r="N117" s="37">
        <f t="shared" ref="N117" ca="1" si="80">NPV($E$23+$F$23,H117:M117)+$H$4</f>
        <v>1143033.9510231656</v>
      </c>
    </row>
    <row r="118" spans="4:14" x14ac:dyDescent="0.25">
      <c r="D118" s="33"/>
      <c r="E118" s="33">
        <v>88</v>
      </c>
      <c r="F118" s="37"/>
      <c r="G118" s="37"/>
      <c r="H118" s="37">
        <f t="shared" si="2"/>
        <v>868800</v>
      </c>
      <c r="I118" s="37">
        <f ca="1">(RANDBETWEEN($E$14,$F$14)*$I$9)+$I$10+$I$18</f>
        <v>-369472.96408399101</v>
      </c>
      <c r="J118" s="37">
        <f ca="1">(RANDBETWEEN($E$14,$F$14)*$J$9)+$J$10+$J$18</f>
        <v>-9238.8910066427197</v>
      </c>
      <c r="K118" s="37">
        <f ca="1">(RANDBETWEEN($E$14,$F$14)*$K$9)+$K$10+$K$18</f>
        <v>260393.25392346107</v>
      </c>
      <c r="L118" s="37">
        <f ca="1">(RANDBETWEEN($E$14,$F$14)*$L$9)+$L$10+$L$18</f>
        <v>671221.40421803342</v>
      </c>
      <c r="M118" s="37">
        <f ca="1">(RANDBETWEEN($E$14,$F$14)*$M$9)+$M$10+$M$18</f>
        <v>1424944.0925515993</v>
      </c>
      <c r="N118" s="37">
        <f t="shared" ref="N118" ca="1" si="81">NPV($E$23+$F$23,H118:M118)+$H$4</f>
        <v>1228167.7294197315</v>
      </c>
    </row>
    <row r="119" spans="4:14" x14ac:dyDescent="0.25">
      <c r="D119" s="33"/>
      <c r="E119" s="33">
        <v>89</v>
      </c>
      <c r="F119" s="37"/>
      <c r="G119" s="37"/>
      <c r="H119" s="37">
        <f t="shared" si="2"/>
        <v>868800</v>
      </c>
      <c r="I119" s="37">
        <f ca="1">(RANDBETWEEN($E$14,$F$14)*$I$9)+$I$10+$I$18</f>
        <v>-189819.59895313275</v>
      </c>
      <c r="J119" s="37">
        <f ca="1">(RANDBETWEEN($E$14,$F$14)*$J$9)+$J$10+$J$18</f>
        <v>221933.48456383706</v>
      </c>
      <c r="K119" s="37">
        <f ca="1">(RANDBETWEEN($E$14,$F$14)*$K$9)+$K$10+$K$18</f>
        <v>24363.532183028292</v>
      </c>
      <c r="L119" s="37">
        <f ca="1">(RANDBETWEEN($E$14,$F$14)*$L$9)+$L$10+$L$18</f>
        <v>999716.39339203853</v>
      </c>
      <c r="M119" s="37">
        <f ca="1">(RANDBETWEEN($E$14,$F$14)*$M$9)+$M$10+$M$18</f>
        <v>1424944.0925515993</v>
      </c>
      <c r="N119" s="37">
        <f t="shared" ref="N119" ca="1" si="82">NPV($E$23+$F$23,H119:M119)+$H$4</f>
        <v>1654016.20062854</v>
      </c>
    </row>
    <row r="120" spans="4:14" x14ac:dyDescent="0.25">
      <c r="D120" s="33"/>
      <c r="E120" s="33">
        <v>90</v>
      </c>
      <c r="F120" s="37"/>
      <c r="G120" s="37"/>
      <c r="H120" s="37">
        <f t="shared" si="2"/>
        <v>868800</v>
      </c>
      <c r="I120" s="37">
        <f ca="1">(RANDBETWEEN($E$14,$F$14)*$I$9)+$I$10+$I$18</f>
        <v>-189819.59895313275</v>
      </c>
      <c r="J120" s="37">
        <f ca="1">(RANDBETWEEN($E$14,$F$14)*$J$9)+$J$10+$J$18</f>
        <v>221933.48456383706</v>
      </c>
      <c r="K120" s="37">
        <f ca="1">(RANDBETWEEN($E$14,$F$14)*$K$9)+$K$10+$K$18</f>
        <v>24363.532183028292</v>
      </c>
      <c r="L120" s="37">
        <f ca="1">(RANDBETWEEN($E$14,$F$14)*$L$9)+$L$10+$L$18</f>
        <v>999716.39339203853</v>
      </c>
      <c r="M120" s="37">
        <f ca="1">(RANDBETWEEN($E$14,$F$14)*$M$9)+$M$10+$M$18</f>
        <v>1424944.0925515993</v>
      </c>
      <c r="N120" s="37">
        <f t="shared" ref="N120" ca="1" si="83">NPV($E$23+$F$23,H120:M120)+$H$4</f>
        <v>1654016.20062854</v>
      </c>
    </row>
    <row r="121" spans="4:14" x14ac:dyDescent="0.25">
      <c r="D121" s="33"/>
      <c r="E121" s="33">
        <v>91</v>
      </c>
      <c r="F121" s="37"/>
      <c r="G121" s="37"/>
      <c r="H121" s="37">
        <f t="shared" si="2"/>
        <v>868800</v>
      </c>
      <c r="I121" s="37">
        <f ca="1">(RANDBETWEEN($E$14,$F$14)*$I$9)+$I$10+$I$18</f>
        <v>-369472.96408399101</v>
      </c>
      <c r="J121" s="37">
        <f ca="1">(RANDBETWEEN($E$14,$F$14)*$J$9)+$J$10+$J$18</f>
        <v>221933.48456383706</v>
      </c>
      <c r="K121" s="37">
        <f ca="1">(RANDBETWEEN($E$14,$F$14)*$K$9)+$K$10+$K$18</f>
        <v>24363.532183028292</v>
      </c>
      <c r="L121" s="37">
        <f ca="1">(RANDBETWEEN($E$14,$F$14)*$L$9)+$L$10+$L$18</f>
        <v>999716.39339203853</v>
      </c>
      <c r="M121" s="37">
        <f ca="1">(RANDBETWEEN($E$14,$F$14)*$M$9)+$M$10+$M$18</f>
        <v>1424944.0925515993</v>
      </c>
      <c r="N121" s="37">
        <f t="shared" ref="N121" ca="1" si="84">NPV($E$23+$F$23,H121:M121)+$H$4</f>
        <v>1491065.3025506642</v>
      </c>
    </row>
    <row r="122" spans="4:14" x14ac:dyDescent="0.25">
      <c r="D122" s="33"/>
      <c r="E122" s="33">
        <v>92</v>
      </c>
      <c r="F122" s="37"/>
      <c r="G122" s="37"/>
      <c r="H122" s="37">
        <f t="shared" si="2"/>
        <v>868800</v>
      </c>
      <c r="I122" s="37">
        <f ca="1">(RANDBETWEEN($E$14,$F$14)*$I$9)+$I$10+$I$18</f>
        <v>-189819.59895313275</v>
      </c>
      <c r="J122" s="37">
        <f ca="1">(RANDBETWEEN($E$14,$F$14)*$J$9)+$J$10+$J$18</f>
        <v>-9238.8910066427197</v>
      </c>
      <c r="K122" s="37">
        <f ca="1">(RANDBETWEEN($E$14,$F$14)*$K$9)+$K$10+$K$18</f>
        <v>24363.532183028292</v>
      </c>
      <c r="L122" s="37">
        <f ca="1">(RANDBETWEEN($E$14,$F$14)*$L$9)+$L$10+$L$18</f>
        <v>671221.40421803342</v>
      </c>
      <c r="M122" s="37">
        <f ca="1">(RANDBETWEEN($E$14,$F$14)*$M$9)+$M$10+$M$18</f>
        <v>1424944.0925515993</v>
      </c>
      <c r="N122" s="37">
        <f t="shared" ref="N122" ca="1" si="85">NPV($E$23+$F$23,H122:M122)+$H$4</f>
        <v>1196936.3912973143</v>
      </c>
    </row>
    <row r="123" spans="4:14" x14ac:dyDescent="0.25">
      <c r="D123" s="33"/>
      <c r="E123" s="33">
        <v>93</v>
      </c>
      <c r="F123" s="37"/>
      <c r="G123" s="37"/>
      <c r="H123" s="37">
        <f t="shared" si="2"/>
        <v>868800</v>
      </c>
      <c r="I123" s="37">
        <f ca="1">(RANDBETWEEN($E$14,$F$14)*$I$9)+$I$10+$I$18</f>
        <v>-189819.59895313275</v>
      </c>
      <c r="J123" s="37">
        <f ca="1">(RANDBETWEEN($E$14,$F$14)*$J$9)+$J$10+$J$18</f>
        <v>-9238.8910066427197</v>
      </c>
      <c r="K123" s="37">
        <f ca="1">(RANDBETWEEN($E$14,$F$14)*$K$9)+$K$10+$K$18</f>
        <v>260393.25392346107</v>
      </c>
      <c r="L123" s="37">
        <f ca="1">(RANDBETWEEN($E$14,$F$14)*$L$9)+$L$10+$L$18</f>
        <v>999716.39339203853</v>
      </c>
      <c r="M123" s="37">
        <f ca="1">(RANDBETWEEN($E$14,$F$14)*$M$9)+$M$10+$M$18</f>
        <v>1043245.7659826493</v>
      </c>
      <c r="N123" s="37">
        <f t="shared" ref="N123" ca="1" si="86">NPV($E$23+$F$23,H123:M123)+$H$4</f>
        <v>1363673.8789130282</v>
      </c>
    </row>
    <row r="124" spans="4:14" x14ac:dyDescent="0.25">
      <c r="D124" s="33"/>
      <c r="E124" s="33">
        <v>94</v>
      </c>
      <c r="F124" s="37"/>
      <c r="G124" s="37"/>
      <c r="H124" s="37">
        <f t="shared" si="2"/>
        <v>868800</v>
      </c>
      <c r="I124" s="37">
        <f ca="1">(RANDBETWEEN($E$14,$F$14)*$I$9)+$I$10+$I$18</f>
        <v>-369472.96408399101</v>
      </c>
      <c r="J124" s="37">
        <f ca="1">(RANDBETWEEN($E$14,$F$14)*$J$9)+$J$10+$J$18</f>
        <v>-9238.8910066427197</v>
      </c>
      <c r="K124" s="37">
        <f ca="1">(RANDBETWEEN($E$14,$F$14)*$K$9)+$K$10+$K$18</f>
        <v>260393.25392346107</v>
      </c>
      <c r="L124" s="37">
        <f ca="1">(RANDBETWEEN($E$14,$F$14)*$L$9)+$L$10+$L$18</f>
        <v>671221.40421803342</v>
      </c>
      <c r="M124" s="37">
        <f ca="1">(RANDBETWEEN($E$14,$F$14)*$M$9)+$M$10+$M$18</f>
        <v>1043245.7659826493</v>
      </c>
      <c r="N124" s="37">
        <f t="shared" ref="N124" ca="1" si="87">NPV($E$23+$F$23,H124:M124)+$H$4</f>
        <v>943338.56126354542</v>
      </c>
    </row>
    <row r="125" spans="4:14" x14ac:dyDescent="0.25">
      <c r="D125" s="33"/>
      <c r="E125" s="33">
        <v>95</v>
      </c>
      <c r="F125" s="37"/>
      <c r="G125" s="37"/>
      <c r="H125" s="37">
        <f t="shared" si="2"/>
        <v>868800</v>
      </c>
      <c r="I125" s="37">
        <f ca="1">(RANDBETWEEN($E$14,$F$14)*$I$9)+$I$10+$I$18</f>
        <v>-189819.59895313275</v>
      </c>
      <c r="J125" s="37">
        <f ca="1">(RANDBETWEEN($E$14,$F$14)*$J$9)+$J$10+$J$18</f>
        <v>221933.48456383706</v>
      </c>
      <c r="K125" s="37">
        <f ca="1">(RANDBETWEEN($E$14,$F$14)*$K$9)+$K$10+$K$18</f>
        <v>24363.532183028292</v>
      </c>
      <c r="L125" s="37">
        <f ca="1">(RANDBETWEEN($E$14,$F$14)*$L$9)+$L$10+$L$18</f>
        <v>671221.40421803342</v>
      </c>
      <c r="M125" s="37">
        <f ca="1">(RANDBETWEEN($E$14,$F$14)*$M$9)+$M$10+$M$18</f>
        <v>1043245.7659826493</v>
      </c>
      <c r="N125" s="37">
        <f t="shared" ref="N125" ca="1" si="88">NPV($E$23+$F$23,H125:M125)+$H$4</f>
        <v>1111802.6129007479</v>
      </c>
    </row>
    <row r="126" spans="4:14" x14ac:dyDescent="0.25">
      <c r="D126" s="33"/>
      <c r="E126" s="33">
        <v>96</v>
      </c>
      <c r="F126" s="37"/>
      <c r="G126" s="37"/>
      <c r="H126" s="37">
        <f t="shared" si="2"/>
        <v>868800</v>
      </c>
      <c r="I126" s="37">
        <f ca="1">(RANDBETWEEN($E$14,$F$14)*$I$9)+$I$10+$I$18</f>
        <v>-369472.96408399101</v>
      </c>
      <c r="J126" s="37">
        <f ca="1">(RANDBETWEEN($E$14,$F$14)*$J$9)+$J$10+$J$18</f>
        <v>221933.48456383706</v>
      </c>
      <c r="K126" s="37">
        <f ca="1">(RANDBETWEEN($E$14,$F$14)*$K$9)+$K$10+$K$18</f>
        <v>24363.532183028292</v>
      </c>
      <c r="L126" s="37">
        <f ca="1">(RANDBETWEEN($E$14,$F$14)*$L$9)+$L$10+$L$18</f>
        <v>999716.39339203853</v>
      </c>
      <c r="M126" s="37">
        <f ca="1">(RANDBETWEEN($E$14,$F$14)*$M$9)+$M$10+$M$18</f>
        <v>1043245.7659826493</v>
      </c>
      <c r="N126" s="37">
        <f t="shared" ref="N126" ca="1" si="89">NPV($E$23+$F$23,H126:M126)+$H$4</f>
        <v>1206236.1343944785</v>
      </c>
    </row>
    <row r="127" spans="4:14" x14ac:dyDescent="0.25">
      <c r="D127" s="33"/>
      <c r="E127" s="33">
        <v>97</v>
      </c>
      <c r="F127" s="37"/>
      <c r="G127" s="37"/>
      <c r="H127" s="37">
        <f t="shared" si="2"/>
        <v>868800</v>
      </c>
      <c r="I127" s="37">
        <f ca="1">(RANDBETWEEN($E$14,$F$14)*$I$9)+$I$10+$I$18</f>
        <v>-369472.96408399101</v>
      </c>
      <c r="J127" s="37">
        <f ca="1">(RANDBETWEEN($E$14,$F$14)*$J$9)+$J$10+$J$18</f>
        <v>-9238.8910066427197</v>
      </c>
      <c r="K127" s="37">
        <f ca="1">(RANDBETWEEN($E$14,$F$14)*$K$9)+$K$10+$K$18</f>
        <v>260393.25392346107</v>
      </c>
      <c r="L127" s="37">
        <f ca="1">(RANDBETWEEN($E$14,$F$14)*$L$9)+$L$10+$L$18</f>
        <v>999716.39339203853</v>
      </c>
      <c r="M127" s="37">
        <f ca="1">(RANDBETWEEN($E$14,$F$14)*$M$9)+$M$10+$M$18</f>
        <v>1043245.7659826493</v>
      </c>
      <c r="N127" s="37">
        <f t="shared" ref="N127" ca="1" si="90">NPV($E$23+$F$23,H127:M127)+$H$4</f>
        <v>1200722.9808351514</v>
      </c>
    </row>
    <row r="128" spans="4:14" x14ac:dyDescent="0.25">
      <c r="D128" s="33"/>
      <c r="E128" s="33">
        <v>98</v>
      </c>
      <c r="F128" s="37"/>
      <c r="G128" s="37"/>
      <c r="H128" s="37">
        <f t="shared" si="2"/>
        <v>868800</v>
      </c>
      <c r="I128" s="37">
        <f ca="1">(RANDBETWEEN($E$14,$F$14)*$I$9)+$I$10+$I$18</f>
        <v>-189819.59895313275</v>
      </c>
      <c r="J128" s="37">
        <f ca="1">(RANDBETWEEN($E$14,$F$14)*$J$9)+$J$10+$J$18</f>
        <v>221933.48456383706</v>
      </c>
      <c r="K128" s="37">
        <f ca="1">(RANDBETWEEN($E$14,$F$14)*$K$9)+$K$10+$K$18</f>
        <v>260393.25392346107</v>
      </c>
      <c r="L128" s="37">
        <f ca="1">(RANDBETWEEN($E$14,$F$14)*$L$9)+$L$10+$L$18</f>
        <v>999716.39339203853</v>
      </c>
      <c r="M128" s="37">
        <f ca="1">(RANDBETWEEN($E$14,$F$14)*$M$9)+$M$10+$M$18</f>
        <v>1424944.0925515993</v>
      </c>
      <c r="N128" s="37">
        <f t="shared" ref="N128" ca="1" si="91">NPV($E$23+$F$23,H128:M128)+$H$4</f>
        <v>1848198.4368288331</v>
      </c>
    </row>
    <row r="129" spans="4:14" x14ac:dyDescent="0.25">
      <c r="D129" s="33"/>
      <c r="E129" s="33">
        <v>99</v>
      </c>
      <c r="F129" s="37"/>
      <c r="G129" s="37"/>
      <c r="H129" s="37">
        <f t="shared" si="2"/>
        <v>868800</v>
      </c>
      <c r="I129" s="37">
        <f ca="1">(RANDBETWEEN($E$14,$F$14)*$I$9)+$I$10+$I$18</f>
        <v>-189819.59895313275</v>
      </c>
      <c r="J129" s="37">
        <f ca="1">(RANDBETWEEN($E$14,$F$14)*$J$9)+$J$10+$J$18</f>
        <v>221933.48456383706</v>
      </c>
      <c r="K129" s="37">
        <f ca="1">(RANDBETWEEN($E$14,$F$14)*$K$9)+$K$10+$K$18</f>
        <v>260393.25392346107</v>
      </c>
      <c r="L129" s="37">
        <f ca="1">(RANDBETWEEN($E$14,$F$14)*$L$9)+$L$10+$L$18</f>
        <v>671221.40421803342</v>
      </c>
      <c r="M129" s="37">
        <f ca="1">(RANDBETWEEN($E$14,$F$14)*$M$9)+$M$10+$M$18</f>
        <v>1043245.7659826493</v>
      </c>
      <c r="N129" s="37">
        <f t="shared" ref="N129" ca="1" si="92">NPV($E$23+$F$23,H129:M129)+$H$4</f>
        <v>1305984.8491010414</v>
      </c>
    </row>
    <row r="130" spans="4:14" x14ac:dyDescent="0.25">
      <c r="D130" s="33"/>
      <c r="E130" s="33">
        <v>100</v>
      </c>
      <c r="F130" s="37"/>
      <c r="G130" s="37"/>
      <c r="H130" s="37">
        <f t="shared" si="2"/>
        <v>868800</v>
      </c>
      <c r="I130" s="37">
        <f ca="1">(RANDBETWEEN($E$14,$F$14)*$I$9)+$I$10+$I$18</f>
        <v>-369472.96408399101</v>
      </c>
      <c r="J130" s="37">
        <f ca="1">(RANDBETWEEN($E$14,$F$14)*$J$9)+$J$10+$J$18</f>
        <v>-9238.8910066427197</v>
      </c>
      <c r="K130" s="37">
        <f ca="1">(RANDBETWEEN($E$14,$F$14)*$K$9)+$K$10+$K$18</f>
        <v>260393.25392346107</v>
      </c>
      <c r="L130" s="37">
        <f ca="1">(RANDBETWEEN($E$14,$F$14)*$L$9)+$L$10+$L$18</f>
        <v>999716.39339203853</v>
      </c>
      <c r="M130" s="37">
        <f ca="1">(RANDBETWEEN($E$14,$F$14)*$M$9)+$M$10+$M$18</f>
        <v>1043245.7659826493</v>
      </c>
      <c r="N130" s="37">
        <f t="shared" ref="N130" ca="1" si="93">NPV($E$23+$F$23,H130:M130)+$H$4</f>
        <v>1200722.9808351514</v>
      </c>
    </row>
    <row r="131" spans="4:14" x14ac:dyDescent="0.25">
      <c r="D131" s="33"/>
      <c r="E131" s="33">
        <v>101</v>
      </c>
      <c r="F131" s="37"/>
      <c r="G131" s="37"/>
      <c r="H131" s="37">
        <f t="shared" si="2"/>
        <v>868800</v>
      </c>
      <c r="I131" s="37">
        <f ca="1">(RANDBETWEEN($E$14,$F$14)*$I$9)+$I$10+$I$18</f>
        <v>-189819.59895313275</v>
      </c>
      <c r="J131" s="37">
        <f ca="1">(RANDBETWEEN($E$14,$F$14)*$J$9)+$J$10+$J$18</f>
        <v>-9238.8910066427197</v>
      </c>
      <c r="K131" s="37">
        <f ca="1">(RANDBETWEEN($E$14,$F$14)*$K$9)+$K$10+$K$18</f>
        <v>260393.25392346107</v>
      </c>
      <c r="L131" s="37">
        <f ca="1">(RANDBETWEEN($E$14,$F$14)*$L$9)+$L$10+$L$18</f>
        <v>671221.40421803342</v>
      </c>
      <c r="M131" s="37">
        <f ca="1">(RANDBETWEEN($E$14,$F$14)*$M$9)+$M$10+$M$18</f>
        <v>1043245.7659826493</v>
      </c>
      <c r="N131" s="37">
        <f t="shared" ref="N131" ca="1" si="94">NPV($E$23+$F$23,H131:M131)+$H$4</f>
        <v>1106289.4593414213</v>
      </c>
    </row>
    <row r="132" spans="4:14" x14ac:dyDescent="0.25">
      <c r="D132" s="33"/>
      <c r="E132" s="33">
        <v>102</v>
      </c>
      <c r="F132" s="37"/>
      <c r="G132" s="37"/>
      <c r="H132" s="37">
        <f t="shared" si="2"/>
        <v>868800</v>
      </c>
      <c r="I132" s="37">
        <f ca="1">(RANDBETWEEN($E$14,$F$14)*$I$9)+$I$10+$I$18</f>
        <v>-369472.96408399101</v>
      </c>
      <c r="J132" s="37">
        <f ca="1">(RANDBETWEEN($E$14,$F$14)*$J$9)+$J$10+$J$18</f>
        <v>221933.48456383706</v>
      </c>
      <c r="K132" s="37">
        <f ca="1">(RANDBETWEEN($E$14,$F$14)*$K$9)+$K$10+$K$18</f>
        <v>260393.25392346107</v>
      </c>
      <c r="L132" s="37">
        <f ca="1">(RANDBETWEEN($E$14,$F$14)*$L$9)+$L$10+$L$18</f>
        <v>999716.39339203853</v>
      </c>
      <c r="M132" s="37">
        <f ca="1">(RANDBETWEEN($E$14,$F$14)*$M$9)+$M$10+$M$18</f>
        <v>1043245.7659826493</v>
      </c>
      <c r="N132" s="37">
        <f t="shared" ref="N132" ca="1" si="95">NPV($E$23+$F$23,H132:M132)+$H$4</f>
        <v>1400418.3705947716</v>
      </c>
    </row>
    <row r="133" spans="4:14" x14ac:dyDescent="0.25">
      <c r="D133" s="33"/>
      <c r="E133" s="33">
        <v>103</v>
      </c>
      <c r="F133" s="37"/>
      <c r="G133" s="37"/>
      <c r="H133" s="37">
        <f t="shared" si="2"/>
        <v>868800</v>
      </c>
      <c r="I133" s="37">
        <f ca="1">(RANDBETWEEN($E$14,$F$14)*$I$9)+$I$10+$I$18</f>
        <v>-189819.59895313275</v>
      </c>
      <c r="J133" s="37">
        <f ca="1">(RANDBETWEEN($E$14,$F$14)*$J$9)+$J$10+$J$18</f>
        <v>221933.48456383706</v>
      </c>
      <c r="K133" s="37">
        <f ca="1">(RANDBETWEEN($E$14,$F$14)*$K$9)+$K$10+$K$18</f>
        <v>260393.25392346107</v>
      </c>
      <c r="L133" s="37">
        <f ca="1">(RANDBETWEEN($E$14,$F$14)*$L$9)+$L$10+$L$18</f>
        <v>999716.39339203853</v>
      </c>
      <c r="M133" s="37">
        <f ca="1">(RANDBETWEEN($E$14,$F$14)*$M$9)+$M$10+$M$18</f>
        <v>1043245.7659826493</v>
      </c>
      <c r="N133" s="37">
        <f t="shared" ref="N133" ca="1" si="96">NPV($E$23+$F$23,H133:M133)+$H$4</f>
        <v>1563369.2686726474</v>
      </c>
    </row>
    <row r="134" spans="4:14" x14ac:dyDescent="0.25">
      <c r="D134" s="33"/>
      <c r="E134" s="33">
        <v>104</v>
      </c>
      <c r="F134" s="37"/>
      <c r="G134" s="37"/>
      <c r="H134" s="37">
        <f t="shared" si="2"/>
        <v>868800</v>
      </c>
      <c r="I134" s="37">
        <f ca="1">(RANDBETWEEN($E$14,$F$14)*$I$9)+$I$10+$I$18</f>
        <v>-189819.59895313275</v>
      </c>
      <c r="J134" s="37">
        <f ca="1">(RANDBETWEEN($E$14,$F$14)*$J$9)+$J$10+$J$18</f>
        <v>-9238.8910066427197</v>
      </c>
      <c r="K134" s="37">
        <f ca="1">(RANDBETWEEN($E$14,$F$14)*$K$9)+$K$10+$K$18</f>
        <v>260393.25392346107</v>
      </c>
      <c r="L134" s="37">
        <f ca="1">(RANDBETWEEN($E$14,$F$14)*$L$9)+$L$10+$L$18</f>
        <v>999716.39339203853</v>
      </c>
      <c r="M134" s="37">
        <f ca="1">(RANDBETWEEN($E$14,$F$14)*$M$9)+$M$10+$M$18</f>
        <v>1424944.0925515993</v>
      </c>
      <c r="N134" s="37">
        <f t="shared" ref="N134" ca="1" si="97">NPV($E$23+$F$23,H134:M134)+$H$4</f>
        <v>1648503.0470692138</v>
      </c>
    </row>
    <row r="135" spans="4:14" x14ac:dyDescent="0.25">
      <c r="D135" s="33"/>
      <c r="E135" s="33">
        <v>105</v>
      </c>
      <c r="F135" s="37"/>
      <c r="G135" s="37"/>
      <c r="H135" s="37">
        <f t="shared" si="2"/>
        <v>868800</v>
      </c>
      <c r="I135" s="37">
        <f ca="1">(RANDBETWEEN($E$14,$F$14)*$I$9)+$I$10+$I$18</f>
        <v>-189819.59895313275</v>
      </c>
      <c r="J135" s="37">
        <f ca="1">(RANDBETWEEN($E$14,$F$14)*$J$9)+$J$10+$J$18</f>
        <v>221933.48456383706</v>
      </c>
      <c r="K135" s="37">
        <f ca="1">(RANDBETWEEN($E$14,$F$14)*$K$9)+$K$10+$K$18</f>
        <v>24363.532183028292</v>
      </c>
      <c r="L135" s="37">
        <f ca="1">(RANDBETWEEN($E$14,$F$14)*$L$9)+$L$10+$L$18</f>
        <v>999716.39339203853</v>
      </c>
      <c r="M135" s="37">
        <f ca="1">(RANDBETWEEN($E$14,$F$14)*$M$9)+$M$10+$M$18</f>
        <v>1043245.7659826493</v>
      </c>
      <c r="N135" s="37">
        <f t="shared" ref="N135" ca="1" si="98">NPV($E$23+$F$23,H135:M135)+$H$4</f>
        <v>1369187.0324723539</v>
      </c>
    </row>
    <row r="136" spans="4:14" x14ac:dyDescent="0.25">
      <c r="D136" s="33"/>
      <c r="E136" s="33">
        <v>106</v>
      </c>
      <c r="F136" s="37"/>
      <c r="G136" s="37"/>
      <c r="H136" s="37">
        <f t="shared" si="2"/>
        <v>868800</v>
      </c>
      <c r="I136" s="37">
        <f ca="1">(RANDBETWEEN($E$14,$F$14)*$I$9)+$I$10+$I$18</f>
        <v>-369472.96408399101</v>
      </c>
      <c r="J136" s="37">
        <f ca="1">(RANDBETWEEN($E$14,$F$14)*$J$9)+$J$10+$J$18</f>
        <v>-9238.8910066427197</v>
      </c>
      <c r="K136" s="37">
        <f ca="1">(RANDBETWEEN($E$14,$F$14)*$K$9)+$K$10+$K$18</f>
        <v>24363.532183028292</v>
      </c>
      <c r="L136" s="37">
        <f ca="1">(RANDBETWEEN($E$14,$F$14)*$L$9)+$L$10+$L$18</f>
        <v>999716.39339203853</v>
      </c>
      <c r="M136" s="37">
        <f ca="1">(RANDBETWEEN($E$14,$F$14)*$M$9)+$M$10+$M$18</f>
        <v>1043245.7659826493</v>
      </c>
      <c r="N136" s="37">
        <f t="shared" ref="N136" ca="1" si="99">NPV($E$23+$F$23,H136:M136)+$H$4</f>
        <v>1006540.7446348586</v>
      </c>
    </row>
    <row r="137" spans="4:14" x14ac:dyDescent="0.25">
      <c r="D137" s="33"/>
      <c r="E137" s="33">
        <v>107</v>
      </c>
      <c r="F137" s="37"/>
      <c r="G137" s="37"/>
      <c r="H137" s="37">
        <f t="shared" si="2"/>
        <v>868800</v>
      </c>
      <c r="I137" s="37">
        <f ca="1">(RANDBETWEEN($E$14,$F$14)*$I$9)+$I$10+$I$18</f>
        <v>-189819.59895313275</v>
      </c>
      <c r="J137" s="37">
        <f ca="1">(RANDBETWEEN($E$14,$F$14)*$J$9)+$J$10+$J$18</f>
        <v>-9238.8910066427197</v>
      </c>
      <c r="K137" s="37">
        <f ca="1">(RANDBETWEEN($E$14,$F$14)*$K$9)+$K$10+$K$18</f>
        <v>24363.532183028292</v>
      </c>
      <c r="L137" s="37">
        <f ca="1">(RANDBETWEEN($E$14,$F$14)*$L$9)+$L$10+$L$18</f>
        <v>671221.40421803342</v>
      </c>
      <c r="M137" s="37">
        <f ca="1">(RANDBETWEEN($E$14,$F$14)*$M$9)+$M$10+$M$18</f>
        <v>1424944.0925515993</v>
      </c>
      <c r="N137" s="37">
        <f t="shared" ref="N137" ca="1" si="100">NPV($E$23+$F$23,H137:M137)+$H$4</f>
        <v>1196936.3912973143</v>
      </c>
    </row>
    <row r="138" spans="4:14" x14ac:dyDescent="0.25">
      <c r="D138" s="33"/>
      <c r="E138" s="33">
        <v>108</v>
      </c>
      <c r="F138" s="37"/>
      <c r="G138" s="37"/>
      <c r="H138" s="37">
        <f t="shared" si="2"/>
        <v>868800</v>
      </c>
      <c r="I138" s="37">
        <f ca="1">(RANDBETWEEN($E$14,$F$14)*$I$9)+$I$10+$I$18</f>
        <v>-369472.96408399101</v>
      </c>
      <c r="J138" s="37">
        <f ca="1">(RANDBETWEEN($E$14,$F$14)*$J$9)+$J$10+$J$18</f>
        <v>221933.48456383706</v>
      </c>
      <c r="K138" s="37">
        <f ca="1">(RANDBETWEEN($E$14,$F$14)*$K$9)+$K$10+$K$18</f>
        <v>24363.532183028292</v>
      </c>
      <c r="L138" s="37">
        <f ca="1">(RANDBETWEEN($E$14,$F$14)*$L$9)+$L$10+$L$18</f>
        <v>999716.39339203853</v>
      </c>
      <c r="M138" s="37">
        <f ca="1">(RANDBETWEEN($E$14,$F$14)*$M$9)+$M$10+$M$18</f>
        <v>1043245.7659826493</v>
      </c>
      <c r="N138" s="37">
        <f t="shared" ref="N138" ca="1" si="101">NPV($E$23+$F$23,H138:M138)+$H$4</f>
        <v>1206236.1343944785</v>
      </c>
    </row>
    <row r="139" spans="4:14" x14ac:dyDescent="0.25">
      <c r="D139" s="33"/>
      <c r="E139" s="33">
        <v>109</v>
      </c>
      <c r="F139" s="37"/>
      <c r="G139" s="37"/>
      <c r="H139" s="37">
        <f t="shared" si="2"/>
        <v>868800</v>
      </c>
      <c r="I139" s="37">
        <f ca="1">(RANDBETWEEN($E$14,$F$14)*$I$9)+$I$10+$I$18</f>
        <v>-369472.96408399101</v>
      </c>
      <c r="J139" s="37">
        <f ca="1">(RANDBETWEEN($E$14,$F$14)*$J$9)+$J$10+$J$18</f>
        <v>-9238.8910066427197</v>
      </c>
      <c r="K139" s="37">
        <f ca="1">(RANDBETWEEN($E$14,$F$14)*$K$9)+$K$10+$K$18</f>
        <v>24363.532183028292</v>
      </c>
      <c r="L139" s="37">
        <f ca="1">(RANDBETWEEN($E$14,$F$14)*$L$9)+$L$10+$L$18</f>
        <v>671221.40421803342</v>
      </c>
      <c r="M139" s="37">
        <f ca="1">(RANDBETWEEN($E$14,$F$14)*$M$9)+$M$10+$M$18</f>
        <v>1043245.7659826493</v>
      </c>
      <c r="N139" s="37">
        <f t="shared" ref="N139" ca="1" si="102">NPV($E$23+$F$23,H139:M139)+$H$4</f>
        <v>749156.32506325236</v>
      </c>
    </row>
    <row r="140" spans="4:14" x14ac:dyDescent="0.25">
      <c r="D140" s="33"/>
      <c r="E140" s="33">
        <v>110</v>
      </c>
      <c r="F140" s="37"/>
      <c r="G140" s="37"/>
      <c r="H140" s="37">
        <f t="shared" si="2"/>
        <v>868800</v>
      </c>
      <c r="I140" s="37">
        <f ca="1">(RANDBETWEEN($E$14,$F$14)*$I$9)+$I$10+$I$18</f>
        <v>-189819.59895313275</v>
      </c>
      <c r="J140" s="37">
        <f ca="1">(RANDBETWEEN($E$14,$F$14)*$J$9)+$J$10+$J$18</f>
        <v>-9238.8910066427197</v>
      </c>
      <c r="K140" s="37">
        <f ca="1">(RANDBETWEEN($E$14,$F$14)*$K$9)+$K$10+$K$18</f>
        <v>260393.25392346107</v>
      </c>
      <c r="L140" s="37">
        <f ca="1">(RANDBETWEEN($E$14,$F$14)*$L$9)+$L$10+$L$18</f>
        <v>999716.39339203853</v>
      </c>
      <c r="M140" s="37">
        <f ca="1">(RANDBETWEEN($E$14,$F$14)*$M$9)+$M$10+$M$18</f>
        <v>1424944.0925515993</v>
      </c>
      <c r="N140" s="37">
        <f t="shared" ref="N140" ca="1" si="103">NPV($E$23+$F$23,H140:M140)+$H$4</f>
        <v>1648503.0470692138</v>
      </c>
    </row>
    <row r="141" spans="4:14" x14ac:dyDescent="0.25">
      <c r="D141" s="33"/>
      <c r="E141" s="33">
        <v>111</v>
      </c>
      <c r="F141" s="37"/>
      <c r="G141" s="37"/>
      <c r="H141" s="37">
        <f t="shared" si="2"/>
        <v>868800</v>
      </c>
      <c r="I141" s="37">
        <f ca="1">(RANDBETWEEN($E$14,$F$14)*$I$9)+$I$10+$I$18</f>
        <v>-369472.96408399101</v>
      </c>
      <c r="J141" s="37">
        <f ca="1">(RANDBETWEEN($E$14,$F$14)*$J$9)+$J$10+$J$18</f>
        <v>221933.48456383706</v>
      </c>
      <c r="K141" s="37">
        <f ca="1">(RANDBETWEEN($E$14,$F$14)*$K$9)+$K$10+$K$18</f>
        <v>260393.25392346107</v>
      </c>
      <c r="L141" s="37">
        <f ca="1">(RANDBETWEEN($E$14,$F$14)*$L$9)+$L$10+$L$18</f>
        <v>999716.39339203853</v>
      </c>
      <c r="M141" s="37">
        <f ca="1">(RANDBETWEEN($E$14,$F$14)*$M$9)+$M$10+$M$18</f>
        <v>1043245.7659826493</v>
      </c>
      <c r="N141" s="37">
        <f t="shared" ref="N141" ca="1" si="104">NPV($E$23+$F$23,H141:M141)+$H$4</f>
        <v>1400418.3705947716</v>
      </c>
    </row>
    <row r="142" spans="4:14" x14ac:dyDescent="0.25">
      <c r="D142" s="33"/>
      <c r="E142" s="33">
        <v>112</v>
      </c>
      <c r="F142" s="37"/>
      <c r="G142" s="37"/>
      <c r="H142" s="37">
        <f t="shared" si="2"/>
        <v>868800</v>
      </c>
      <c r="I142" s="37">
        <f ca="1">(RANDBETWEEN($E$14,$F$14)*$I$9)+$I$10+$I$18</f>
        <v>-369472.96408399101</v>
      </c>
      <c r="J142" s="37">
        <f ca="1">(RANDBETWEEN($E$14,$F$14)*$J$9)+$J$10+$J$18</f>
        <v>-9238.8910066427197</v>
      </c>
      <c r="K142" s="37">
        <f ca="1">(RANDBETWEEN($E$14,$F$14)*$K$9)+$K$10+$K$18</f>
        <v>24363.532183028292</v>
      </c>
      <c r="L142" s="37">
        <f ca="1">(RANDBETWEEN($E$14,$F$14)*$L$9)+$L$10+$L$18</f>
        <v>671221.40421803342</v>
      </c>
      <c r="M142" s="37">
        <f ca="1">(RANDBETWEEN($E$14,$F$14)*$M$9)+$M$10+$M$18</f>
        <v>1424944.0925515993</v>
      </c>
      <c r="N142" s="37">
        <f t="shared" ref="N142" ca="1" si="105">NPV($E$23+$F$23,H142:M142)+$H$4</f>
        <v>1033985.4932194382</v>
      </c>
    </row>
    <row r="143" spans="4:14" x14ac:dyDescent="0.25">
      <c r="D143" s="33"/>
      <c r="E143" s="33">
        <v>113</v>
      </c>
      <c r="F143" s="37"/>
      <c r="G143" s="37"/>
      <c r="H143" s="37">
        <f t="shared" si="2"/>
        <v>868800</v>
      </c>
      <c r="I143" s="37">
        <f ca="1">(RANDBETWEEN($E$14,$F$14)*$I$9)+$I$10+$I$18</f>
        <v>-189819.59895313275</v>
      </c>
      <c r="J143" s="37">
        <f ca="1">(RANDBETWEEN($E$14,$F$14)*$J$9)+$J$10+$J$18</f>
        <v>-9238.8910066427197</v>
      </c>
      <c r="K143" s="37">
        <f ca="1">(RANDBETWEEN($E$14,$F$14)*$K$9)+$K$10+$K$18</f>
        <v>24363.532183028292</v>
      </c>
      <c r="L143" s="37">
        <f ca="1">(RANDBETWEEN($E$14,$F$14)*$L$9)+$L$10+$L$18</f>
        <v>999716.39339203853</v>
      </c>
      <c r="M143" s="37">
        <f ca="1">(RANDBETWEEN($E$14,$F$14)*$M$9)+$M$10+$M$18</f>
        <v>1043245.7659826493</v>
      </c>
      <c r="N143" s="37">
        <f t="shared" ref="N143" ca="1" si="106">NPV($E$23+$F$23,H143:M143)+$H$4</f>
        <v>1169491.6427127346</v>
      </c>
    </row>
    <row r="144" spans="4:14" x14ac:dyDescent="0.25">
      <c r="D144" s="33"/>
      <c r="E144" s="33">
        <v>114</v>
      </c>
      <c r="F144" s="37"/>
      <c r="G144" s="37"/>
      <c r="H144" s="37">
        <f t="shared" si="2"/>
        <v>868800</v>
      </c>
      <c r="I144" s="37">
        <f ca="1">(RANDBETWEEN($E$14,$F$14)*$I$9)+$I$10+$I$18</f>
        <v>-189819.59895313275</v>
      </c>
      <c r="J144" s="37">
        <f ca="1">(RANDBETWEEN($E$14,$F$14)*$J$9)+$J$10+$J$18</f>
        <v>221933.48456383706</v>
      </c>
      <c r="K144" s="37">
        <f ca="1">(RANDBETWEEN($E$14,$F$14)*$K$9)+$K$10+$K$18</f>
        <v>260393.25392346107</v>
      </c>
      <c r="L144" s="37">
        <f ca="1">(RANDBETWEEN($E$14,$F$14)*$L$9)+$L$10+$L$18</f>
        <v>999716.39339203853</v>
      </c>
      <c r="M144" s="37">
        <f ca="1">(RANDBETWEEN($E$14,$F$14)*$M$9)+$M$10+$M$18</f>
        <v>1424944.0925515993</v>
      </c>
      <c r="N144" s="37">
        <f t="shared" ref="N144" ca="1" si="107">NPV($E$23+$F$23,H144:M144)+$H$4</f>
        <v>1848198.4368288331</v>
      </c>
    </row>
    <row r="145" spans="4:14" x14ac:dyDescent="0.25">
      <c r="D145" s="33"/>
      <c r="E145" s="33">
        <v>115</v>
      </c>
      <c r="F145" s="37"/>
      <c r="G145" s="37"/>
      <c r="H145" s="37">
        <f t="shared" si="2"/>
        <v>868800</v>
      </c>
      <c r="I145" s="37">
        <f ca="1">(RANDBETWEEN($E$14,$F$14)*$I$9)+$I$10+$I$18</f>
        <v>-369472.96408399101</v>
      </c>
      <c r="J145" s="37">
        <f ca="1">(RANDBETWEEN($E$14,$F$14)*$J$9)+$J$10+$J$18</f>
        <v>221933.48456383706</v>
      </c>
      <c r="K145" s="37">
        <f ca="1">(RANDBETWEEN($E$14,$F$14)*$K$9)+$K$10+$K$18</f>
        <v>260393.25392346107</v>
      </c>
      <c r="L145" s="37">
        <f ca="1">(RANDBETWEEN($E$14,$F$14)*$L$9)+$L$10+$L$18</f>
        <v>999716.39339203853</v>
      </c>
      <c r="M145" s="37">
        <f ca="1">(RANDBETWEEN($E$14,$F$14)*$M$9)+$M$10+$M$18</f>
        <v>1424944.0925515993</v>
      </c>
      <c r="N145" s="37">
        <f t="shared" ref="N145" ca="1" si="108">NPV($E$23+$F$23,H145:M145)+$H$4</f>
        <v>1685247.5387509572</v>
      </c>
    </row>
    <row r="146" spans="4:14" x14ac:dyDescent="0.25">
      <c r="D146" s="33"/>
      <c r="E146" s="33">
        <v>116</v>
      </c>
      <c r="F146" s="37"/>
      <c r="G146" s="37"/>
      <c r="H146" s="37">
        <f t="shared" si="2"/>
        <v>868800</v>
      </c>
      <c r="I146" s="37">
        <f ca="1">(RANDBETWEEN($E$14,$F$14)*$I$9)+$I$10+$I$18</f>
        <v>-369472.96408399101</v>
      </c>
      <c r="J146" s="37">
        <f ca="1">(RANDBETWEEN($E$14,$F$14)*$J$9)+$J$10+$J$18</f>
        <v>-9238.8910066427197</v>
      </c>
      <c r="K146" s="37">
        <f ca="1">(RANDBETWEEN($E$14,$F$14)*$K$9)+$K$10+$K$18</f>
        <v>260393.25392346107</v>
      </c>
      <c r="L146" s="37">
        <f ca="1">(RANDBETWEEN($E$14,$F$14)*$L$9)+$L$10+$L$18</f>
        <v>999716.39339203853</v>
      </c>
      <c r="M146" s="37">
        <f ca="1">(RANDBETWEEN($E$14,$F$14)*$M$9)+$M$10+$M$18</f>
        <v>1043245.7659826493</v>
      </c>
      <c r="N146" s="37">
        <f t="shared" ref="N146" ca="1" si="109">NPV($E$23+$F$23,H146:M146)+$H$4</f>
        <v>1200722.9808351514</v>
      </c>
    </row>
    <row r="147" spans="4:14" x14ac:dyDescent="0.25">
      <c r="D147" s="33"/>
      <c r="E147" s="33">
        <v>117</v>
      </c>
      <c r="F147" s="37"/>
      <c r="G147" s="37"/>
      <c r="H147" s="37">
        <f t="shared" si="2"/>
        <v>868800</v>
      </c>
      <c r="I147" s="37">
        <f ca="1">(RANDBETWEEN($E$14,$F$14)*$I$9)+$I$10+$I$18</f>
        <v>-189819.59895313275</v>
      </c>
      <c r="J147" s="37">
        <f ca="1">(RANDBETWEEN($E$14,$F$14)*$J$9)+$J$10+$J$18</f>
        <v>-9238.8910066427197</v>
      </c>
      <c r="K147" s="37">
        <f ca="1">(RANDBETWEEN($E$14,$F$14)*$K$9)+$K$10+$K$18</f>
        <v>260393.25392346107</v>
      </c>
      <c r="L147" s="37">
        <f ca="1">(RANDBETWEEN($E$14,$F$14)*$L$9)+$L$10+$L$18</f>
        <v>671221.40421803342</v>
      </c>
      <c r="M147" s="37">
        <f ca="1">(RANDBETWEEN($E$14,$F$14)*$M$9)+$M$10+$M$18</f>
        <v>1424944.0925515993</v>
      </c>
      <c r="N147" s="37">
        <f t="shared" ref="N147" ca="1" si="110">NPV($E$23+$F$23,H147:M147)+$H$4</f>
        <v>1391118.6274976074</v>
      </c>
    </row>
    <row r="148" spans="4:14" x14ac:dyDescent="0.25">
      <c r="D148" s="33"/>
      <c r="E148" s="33">
        <v>118</v>
      </c>
      <c r="F148" s="37"/>
      <c r="G148" s="37"/>
      <c r="H148" s="37">
        <f t="shared" si="2"/>
        <v>868800</v>
      </c>
      <c r="I148" s="37">
        <f ca="1">(RANDBETWEEN($E$14,$F$14)*$I$9)+$I$10+$I$18</f>
        <v>-369472.96408399101</v>
      </c>
      <c r="J148" s="37">
        <f ca="1">(RANDBETWEEN($E$14,$F$14)*$J$9)+$J$10+$J$18</f>
        <v>-9238.8910066427197</v>
      </c>
      <c r="K148" s="37">
        <f ca="1">(RANDBETWEEN($E$14,$F$14)*$K$9)+$K$10+$K$18</f>
        <v>260393.25392346107</v>
      </c>
      <c r="L148" s="37">
        <f ca="1">(RANDBETWEEN($E$14,$F$14)*$L$9)+$L$10+$L$18</f>
        <v>671221.40421803342</v>
      </c>
      <c r="M148" s="37">
        <f ca="1">(RANDBETWEEN($E$14,$F$14)*$M$9)+$M$10+$M$18</f>
        <v>1043245.7659826493</v>
      </c>
      <c r="N148" s="37">
        <f t="shared" ref="N148" ca="1" si="111">NPV($E$23+$F$23,H148:M148)+$H$4</f>
        <v>943338.56126354542</v>
      </c>
    </row>
    <row r="149" spans="4:14" x14ac:dyDescent="0.25">
      <c r="D149" s="33"/>
      <c r="E149" s="33">
        <v>119</v>
      </c>
      <c r="F149" s="37"/>
      <c r="G149" s="37"/>
      <c r="H149" s="37">
        <f t="shared" si="2"/>
        <v>868800</v>
      </c>
      <c r="I149" s="37">
        <f ca="1">(RANDBETWEEN($E$14,$F$14)*$I$9)+$I$10+$I$18</f>
        <v>-369472.96408399101</v>
      </c>
      <c r="J149" s="37">
        <f ca="1">(RANDBETWEEN($E$14,$F$14)*$J$9)+$J$10+$J$18</f>
        <v>-9238.8910066427197</v>
      </c>
      <c r="K149" s="37">
        <f ca="1">(RANDBETWEEN($E$14,$F$14)*$K$9)+$K$10+$K$18</f>
        <v>24363.532183028292</v>
      </c>
      <c r="L149" s="37">
        <f ca="1">(RANDBETWEEN($E$14,$F$14)*$L$9)+$L$10+$L$18</f>
        <v>671221.40421803342</v>
      </c>
      <c r="M149" s="37">
        <f ca="1">(RANDBETWEEN($E$14,$F$14)*$M$9)+$M$10+$M$18</f>
        <v>1043245.7659826493</v>
      </c>
      <c r="N149" s="37">
        <f t="shared" ref="N149" ca="1" si="112">NPV($E$23+$F$23,H149:M149)+$H$4</f>
        <v>749156.32506325236</v>
      </c>
    </row>
    <row r="150" spans="4:14" x14ac:dyDescent="0.25">
      <c r="D150" s="33"/>
      <c r="E150" s="33">
        <v>120</v>
      </c>
      <c r="F150" s="37"/>
      <c r="G150" s="37"/>
      <c r="H150" s="37">
        <f t="shared" si="2"/>
        <v>868800</v>
      </c>
      <c r="I150" s="37">
        <f ca="1">(RANDBETWEEN($E$14,$F$14)*$I$9)+$I$10+$I$18</f>
        <v>-369472.96408399101</v>
      </c>
      <c r="J150" s="37">
        <f ca="1">(RANDBETWEEN($E$14,$F$14)*$J$9)+$J$10+$J$18</f>
        <v>-9238.8910066427197</v>
      </c>
      <c r="K150" s="37">
        <f ca="1">(RANDBETWEEN($E$14,$F$14)*$K$9)+$K$10+$K$18</f>
        <v>260393.25392346107</v>
      </c>
      <c r="L150" s="37">
        <f ca="1">(RANDBETWEEN($E$14,$F$14)*$L$9)+$L$10+$L$18</f>
        <v>671221.40421803342</v>
      </c>
      <c r="M150" s="37">
        <f ca="1">(RANDBETWEEN($E$14,$F$14)*$M$9)+$M$10+$M$18</f>
        <v>1043245.7659826493</v>
      </c>
      <c r="N150" s="37">
        <f t="shared" ref="N150" ca="1" si="113">NPV($E$23+$F$23,H150:M150)+$H$4</f>
        <v>943338.56126354542</v>
      </c>
    </row>
    <row r="151" spans="4:14" x14ac:dyDescent="0.25">
      <c r="D151" s="33"/>
      <c r="E151" s="33">
        <v>121</v>
      </c>
      <c r="F151" s="37"/>
      <c r="G151" s="37"/>
      <c r="H151" s="37">
        <f t="shared" si="2"/>
        <v>868800</v>
      </c>
      <c r="I151" s="37">
        <f ca="1">(RANDBETWEEN($E$14,$F$14)*$I$9)+$I$10+$I$18</f>
        <v>-189819.59895313275</v>
      </c>
      <c r="J151" s="37">
        <f ca="1">(RANDBETWEEN($E$14,$F$14)*$J$9)+$J$10+$J$18</f>
        <v>-9238.8910066427197</v>
      </c>
      <c r="K151" s="37">
        <f ca="1">(RANDBETWEEN($E$14,$F$14)*$K$9)+$K$10+$K$18</f>
        <v>24363.532183028292</v>
      </c>
      <c r="L151" s="37">
        <f ca="1">(RANDBETWEEN($E$14,$F$14)*$L$9)+$L$10+$L$18</f>
        <v>999716.39339203853</v>
      </c>
      <c r="M151" s="37">
        <f ca="1">(RANDBETWEEN($E$14,$F$14)*$M$9)+$M$10+$M$18</f>
        <v>1043245.7659826493</v>
      </c>
      <c r="N151" s="37">
        <f t="shared" ref="N151" ca="1" si="114">NPV($E$23+$F$23,H151:M151)+$H$4</f>
        <v>1169491.6427127346</v>
      </c>
    </row>
    <row r="152" spans="4:14" x14ac:dyDescent="0.25">
      <c r="D152" s="33"/>
      <c r="E152" s="33">
        <v>122</v>
      </c>
      <c r="F152" s="37"/>
      <c r="G152" s="37"/>
      <c r="H152" s="37">
        <f t="shared" si="2"/>
        <v>868800</v>
      </c>
      <c r="I152" s="37">
        <f ca="1">(RANDBETWEEN($E$14,$F$14)*$I$9)+$I$10+$I$18</f>
        <v>-369472.96408399101</v>
      </c>
      <c r="J152" s="37">
        <f ca="1">(RANDBETWEEN($E$14,$F$14)*$J$9)+$J$10+$J$18</f>
        <v>221933.48456383706</v>
      </c>
      <c r="K152" s="37">
        <f ca="1">(RANDBETWEEN($E$14,$F$14)*$K$9)+$K$10+$K$18</f>
        <v>260393.25392346107</v>
      </c>
      <c r="L152" s="37">
        <f ca="1">(RANDBETWEEN($E$14,$F$14)*$L$9)+$L$10+$L$18</f>
        <v>999716.39339203853</v>
      </c>
      <c r="M152" s="37">
        <f ca="1">(RANDBETWEEN($E$14,$F$14)*$M$9)+$M$10+$M$18</f>
        <v>1424944.0925515993</v>
      </c>
      <c r="N152" s="37">
        <f t="shared" ref="N152" ca="1" si="115">NPV($E$23+$F$23,H152:M152)+$H$4</f>
        <v>1685247.5387509572</v>
      </c>
    </row>
    <row r="153" spans="4:14" x14ac:dyDescent="0.25">
      <c r="D153" s="33"/>
      <c r="E153" s="33">
        <v>123</v>
      </c>
      <c r="F153" s="37"/>
      <c r="G153" s="37"/>
      <c r="H153" s="37">
        <f t="shared" si="2"/>
        <v>868800</v>
      </c>
      <c r="I153" s="37">
        <f ca="1">(RANDBETWEEN($E$14,$F$14)*$I$9)+$I$10+$I$18</f>
        <v>-189819.59895313275</v>
      </c>
      <c r="J153" s="37">
        <f ca="1">(RANDBETWEEN($E$14,$F$14)*$J$9)+$J$10+$J$18</f>
        <v>221933.48456383706</v>
      </c>
      <c r="K153" s="37">
        <f ca="1">(RANDBETWEEN($E$14,$F$14)*$K$9)+$K$10+$K$18</f>
        <v>260393.25392346107</v>
      </c>
      <c r="L153" s="37">
        <f ca="1">(RANDBETWEEN($E$14,$F$14)*$L$9)+$L$10+$L$18</f>
        <v>999716.39339203853</v>
      </c>
      <c r="M153" s="37">
        <f ca="1">(RANDBETWEEN($E$14,$F$14)*$M$9)+$M$10+$M$18</f>
        <v>1424944.0925515993</v>
      </c>
      <c r="N153" s="37">
        <f t="shared" ref="N153" ca="1" si="116">NPV($E$23+$F$23,H153:M153)+$H$4</f>
        <v>1848198.4368288331</v>
      </c>
    </row>
    <row r="154" spans="4:14" x14ac:dyDescent="0.25">
      <c r="D154" s="33"/>
      <c r="E154" s="33">
        <v>124</v>
      </c>
      <c r="F154" s="37"/>
      <c r="G154" s="37"/>
      <c r="H154" s="37">
        <f t="shared" si="2"/>
        <v>868800</v>
      </c>
      <c r="I154" s="37">
        <f ca="1">(RANDBETWEEN($E$14,$F$14)*$I$9)+$I$10+$I$18</f>
        <v>-369472.96408399101</v>
      </c>
      <c r="J154" s="37">
        <f ca="1">(RANDBETWEEN($E$14,$F$14)*$J$9)+$J$10+$J$18</f>
        <v>221933.48456383706</v>
      </c>
      <c r="K154" s="37">
        <f ca="1">(RANDBETWEEN($E$14,$F$14)*$K$9)+$K$10+$K$18</f>
        <v>24363.532183028292</v>
      </c>
      <c r="L154" s="37">
        <f ca="1">(RANDBETWEEN($E$14,$F$14)*$L$9)+$L$10+$L$18</f>
        <v>671221.40421803342</v>
      </c>
      <c r="M154" s="37">
        <f ca="1">(RANDBETWEEN($E$14,$F$14)*$M$9)+$M$10+$M$18</f>
        <v>1424944.0925515993</v>
      </c>
      <c r="N154" s="37">
        <f t="shared" ref="N154" ca="1" si="117">NPV($E$23+$F$23,H154:M154)+$H$4</f>
        <v>1233680.8829790577</v>
      </c>
    </row>
    <row r="155" spans="4:14" x14ac:dyDescent="0.25">
      <c r="D155" s="33"/>
      <c r="E155" s="33">
        <v>125</v>
      </c>
      <c r="F155" s="37"/>
      <c r="G155" s="37"/>
      <c r="H155" s="37">
        <f t="shared" si="2"/>
        <v>868800</v>
      </c>
      <c r="I155" s="37">
        <f ca="1">(RANDBETWEEN($E$14,$F$14)*$I$9)+$I$10+$I$18</f>
        <v>-369472.96408399101</v>
      </c>
      <c r="J155" s="37">
        <f ca="1">(RANDBETWEEN($E$14,$F$14)*$J$9)+$J$10+$J$18</f>
        <v>-9238.8910066427197</v>
      </c>
      <c r="K155" s="37">
        <f ca="1">(RANDBETWEEN($E$14,$F$14)*$K$9)+$K$10+$K$18</f>
        <v>24363.532183028292</v>
      </c>
      <c r="L155" s="37">
        <f ca="1">(RANDBETWEEN($E$14,$F$14)*$L$9)+$L$10+$L$18</f>
        <v>671221.40421803342</v>
      </c>
      <c r="M155" s="37">
        <f ca="1">(RANDBETWEEN($E$14,$F$14)*$M$9)+$M$10+$M$18</f>
        <v>1043245.7659826493</v>
      </c>
      <c r="N155" s="37">
        <f t="shared" ref="N155" ca="1" si="118">NPV($E$23+$F$23,H155:M155)+$H$4</f>
        <v>749156.32506325236</v>
      </c>
    </row>
    <row r="156" spans="4:14" x14ac:dyDescent="0.25">
      <c r="D156" s="33"/>
      <c r="E156" s="33">
        <v>126</v>
      </c>
      <c r="F156" s="37"/>
      <c r="G156" s="37"/>
      <c r="H156" s="37">
        <f t="shared" si="2"/>
        <v>868800</v>
      </c>
      <c r="I156" s="37">
        <f ca="1">(RANDBETWEEN($E$14,$F$14)*$I$9)+$I$10+$I$18</f>
        <v>-189819.59895313275</v>
      </c>
      <c r="J156" s="37">
        <f ca="1">(RANDBETWEEN($E$14,$F$14)*$J$9)+$J$10+$J$18</f>
        <v>-9238.8910066427197</v>
      </c>
      <c r="K156" s="37">
        <f ca="1">(RANDBETWEEN($E$14,$F$14)*$K$9)+$K$10+$K$18</f>
        <v>24363.532183028292</v>
      </c>
      <c r="L156" s="37">
        <f ca="1">(RANDBETWEEN($E$14,$F$14)*$L$9)+$L$10+$L$18</f>
        <v>671221.40421803342</v>
      </c>
      <c r="M156" s="37">
        <f ca="1">(RANDBETWEEN($E$14,$F$14)*$M$9)+$M$10+$M$18</f>
        <v>1424944.0925515993</v>
      </c>
      <c r="N156" s="37">
        <f t="shared" ref="N156" ca="1" si="119">NPV($E$23+$F$23,H156:M156)+$H$4</f>
        <v>1196936.3912973143</v>
      </c>
    </row>
    <row r="157" spans="4:14" x14ac:dyDescent="0.25">
      <c r="D157" s="33"/>
      <c r="E157" s="33">
        <v>127</v>
      </c>
      <c r="F157" s="37"/>
      <c r="G157" s="37"/>
      <c r="H157" s="37">
        <f t="shared" si="2"/>
        <v>868800</v>
      </c>
      <c r="I157" s="37">
        <f ca="1">(RANDBETWEEN($E$14,$F$14)*$I$9)+$I$10+$I$18</f>
        <v>-369472.96408399101</v>
      </c>
      <c r="J157" s="37">
        <f ca="1">(RANDBETWEEN($E$14,$F$14)*$J$9)+$J$10+$J$18</f>
        <v>-9238.8910066427197</v>
      </c>
      <c r="K157" s="37">
        <f ca="1">(RANDBETWEEN($E$14,$F$14)*$K$9)+$K$10+$K$18</f>
        <v>260393.25392346107</v>
      </c>
      <c r="L157" s="37">
        <f ca="1">(RANDBETWEEN($E$14,$F$14)*$L$9)+$L$10+$L$18</f>
        <v>671221.40421803342</v>
      </c>
      <c r="M157" s="37">
        <f ca="1">(RANDBETWEEN($E$14,$F$14)*$M$9)+$M$10+$M$18</f>
        <v>1424944.0925515993</v>
      </c>
      <c r="N157" s="37">
        <f t="shared" ref="N157" ca="1" si="120">NPV($E$23+$F$23,H157:M157)+$H$4</f>
        <v>1228167.7294197315</v>
      </c>
    </row>
    <row r="158" spans="4:14" x14ac:dyDescent="0.25">
      <c r="D158" s="33"/>
      <c r="E158" s="33">
        <v>128</v>
      </c>
      <c r="F158" s="37"/>
      <c r="G158" s="37"/>
      <c r="H158" s="37">
        <f t="shared" si="2"/>
        <v>868800</v>
      </c>
      <c r="I158" s="37">
        <f ca="1">(RANDBETWEEN($E$14,$F$14)*$I$9)+$I$10+$I$18</f>
        <v>-189819.59895313275</v>
      </c>
      <c r="J158" s="37">
        <f ca="1">(RANDBETWEEN($E$14,$F$14)*$J$9)+$J$10+$J$18</f>
        <v>-9238.8910066427197</v>
      </c>
      <c r="K158" s="37">
        <f ca="1">(RANDBETWEEN($E$14,$F$14)*$K$9)+$K$10+$K$18</f>
        <v>260393.25392346107</v>
      </c>
      <c r="L158" s="37">
        <f ca="1">(RANDBETWEEN($E$14,$F$14)*$L$9)+$L$10+$L$18</f>
        <v>999716.39339203853</v>
      </c>
      <c r="M158" s="37">
        <f ca="1">(RANDBETWEEN($E$14,$F$14)*$M$9)+$M$10+$M$18</f>
        <v>1043245.7659826493</v>
      </c>
      <c r="N158" s="37">
        <f t="shared" ref="N158" ca="1" si="121">NPV($E$23+$F$23,H158:M158)+$H$4</f>
        <v>1363673.8789130282</v>
      </c>
    </row>
    <row r="159" spans="4:14" x14ac:dyDescent="0.25">
      <c r="D159" s="33"/>
      <c r="E159" s="33">
        <v>129</v>
      </c>
      <c r="F159" s="37"/>
      <c r="G159" s="37"/>
      <c r="H159" s="37">
        <f t="shared" si="2"/>
        <v>868800</v>
      </c>
      <c r="I159" s="37">
        <f ca="1">(RANDBETWEEN($E$14,$F$14)*$I$9)+$I$10+$I$18</f>
        <v>-189819.59895313275</v>
      </c>
      <c r="J159" s="37">
        <f ca="1">(RANDBETWEEN($E$14,$F$14)*$J$9)+$J$10+$J$18</f>
        <v>-9238.8910066427197</v>
      </c>
      <c r="K159" s="37">
        <f ca="1">(RANDBETWEEN($E$14,$F$14)*$K$9)+$K$10+$K$18</f>
        <v>24363.532183028292</v>
      </c>
      <c r="L159" s="37">
        <f ca="1">(RANDBETWEEN($E$14,$F$14)*$L$9)+$L$10+$L$18</f>
        <v>999716.39339203853</v>
      </c>
      <c r="M159" s="37">
        <f ca="1">(RANDBETWEEN($E$14,$F$14)*$M$9)+$M$10+$M$18</f>
        <v>1043245.7659826493</v>
      </c>
      <c r="N159" s="37">
        <f t="shared" ref="N159" ca="1" si="122">NPV($E$23+$F$23,H159:M159)+$H$4</f>
        <v>1169491.6427127346</v>
      </c>
    </row>
    <row r="160" spans="4:14" x14ac:dyDescent="0.25">
      <c r="D160" s="33"/>
      <c r="E160" s="33">
        <v>130</v>
      </c>
      <c r="F160" s="37"/>
      <c r="G160" s="37"/>
      <c r="H160" s="37">
        <f t="shared" si="2"/>
        <v>868800</v>
      </c>
      <c r="I160" s="37">
        <f ca="1">(RANDBETWEEN($E$14,$F$14)*$I$9)+$I$10+$I$18</f>
        <v>-369472.96408399101</v>
      </c>
      <c r="J160" s="37">
        <f ca="1">(RANDBETWEEN($E$14,$F$14)*$J$9)+$J$10+$J$18</f>
        <v>221933.48456383706</v>
      </c>
      <c r="K160" s="37">
        <f ca="1">(RANDBETWEEN($E$14,$F$14)*$K$9)+$K$10+$K$18</f>
        <v>24363.532183028292</v>
      </c>
      <c r="L160" s="37">
        <f ca="1">(RANDBETWEEN($E$14,$F$14)*$L$9)+$L$10+$L$18</f>
        <v>999716.39339203853</v>
      </c>
      <c r="M160" s="37">
        <f ca="1">(RANDBETWEEN($E$14,$F$14)*$M$9)+$M$10+$M$18</f>
        <v>1424944.0925515993</v>
      </c>
      <c r="N160" s="37">
        <f t="shared" ref="N160" ca="1" si="123">NPV($E$23+$F$23,H160:M160)+$H$4</f>
        <v>1491065.3025506642</v>
      </c>
    </row>
    <row r="161" spans="4:14" x14ac:dyDescent="0.25">
      <c r="D161" s="33"/>
      <c r="E161" s="33">
        <v>131</v>
      </c>
      <c r="F161" s="37"/>
      <c r="G161" s="37"/>
      <c r="H161" s="37">
        <f t="shared" si="2"/>
        <v>868800</v>
      </c>
      <c r="I161" s="37">
        <f ca="1">(RANDBETWEEN($E$14,$F$14)*$I$9)+$I$10+$I$18</f>
        <v>-189819.59895313275</v>
      </c>
      <c r="J161" s="37">
        <f ca="1">(RANDBETWEEN($E$14,$F$14)*$J$9)+$J$10+$J$18</f>
        <v>221933.48456383706</v>
      </c>
      <c r="K161" s="37">
        <f ca="1">(RANDBETWEEN($E$14,$F$14)*$K$9)+$K$10+$K$18</f>
        <v>24363.532183028292</v>
      </c>
      <c r="L161" s="37">
        <f ca="1">(RANDBETWEEN($E$14,$F$14)*$L$9)+$L$10+$L$18</f>
        <v>999716.39339203853</v>
      </c>
      <c r="M161" s="37">
        <f ca="1">(RANDBETWEEN($E$14,$F$14)*$M$9)+$M$10+$M$18</f>
        <v>1043245.7659826493</v>
      </c>
      <c r="N161" s="37">
        <f t="shared" ref="N161" ca="1" si="124">NPV($E$23+$F$23,H161:M161)+$H$4</f>
        <v>1369187.0324723539</v>
      </c>
    </row>
    <row r="162" spans="4:14" x14ac:dyDescent="0.25">
      <c r="D162" s="33"/>
      <c r="E162" s="33">
        <v>132</v>
      </c>
      <c r="F162" s="37"/>
      <c r="G162" s="37"/>
      <c r="H162" s="37">
        <f t="shared" si="2"/>
        <v>868800</v>
      </c>
      <c r="I162" s="37">
        <f ca="1">(RANDBETWEEN($E$14,$F$14)*$I$9)+$I$10+$I$18</f>
        <v>-189819.59895313275</v>
      </c>
      <c r="J162" s="37">
        <f ca="1">(RANDBETWEEN($E$14,$F$14)*$J$9)+$J$10+$J$18</f>
        <v>-9238.8910066427197</v>
      </c>
      <c r="K162" s="37">
        <f ca="1">(RANDBETWEEN($E$14,$F$14)*$K$9)+$K$10+$K$18</f>
        <v>24363.532183028292</v>
      </c>
      <c r="L162" s="37">
        <f ca="1">(RANDBETWEEN($E$14,$F$14)*$L$9)+$L$10+$L$18</f>
        <v>671221.40421803342</v>
      </c>
      <c r="M162" s="37">
        <f ca="1">(RANDBETWEEN($E$14,$F$14)*$M$9)+$M$10+$M$18</f>
        <v>1043245.7659826493</v>
      </c>
      <c r="N162" s="37">
        <f t="shared" ref="N162" ca="1" si="125">NPV($E$23+$F$23,H162:M162)+$H$4</f>
        <v>912107.22314112843</v>
      </c>
    </row>
    <row r="163" spans="4:14" x14ac:dyDescent="0.25">
      <c r="D163" s="33"/>
      <c r="E163" s="33">
        <v>133</v>
      </c>
      <c r="F163" s="37"/>
      <c r="G163" s="37"/>
      <c r="H163" s="37">
        <f t="shared" si="2"/>
        <v>868800</v>
      </c>
      <c r="I163" s="37">
        <f ca="1">(RANDBETWEEN($E$14,$F$14)*$I$9)+$I$10+$I$18</f>
        <v>-369472.96408399101</v>
      </c>
      <c r="J163" s="37">
        <f ca="1">(RANDBETWEEN($E$14,$F$14)*$J$9)+$J$10+$J$18</f>
        <v>221933.48456383706</v>
      </c>
      <c r="K163" s="37">
        <f ca="1">(RANDBETWEEN($E$14,$F$14)*$K$9)+$K$10+$K$18</f>
        <v>24363.532183028292</v>
      </c>
      <c r="L163" s="37">
        <f ca="1">(RANDBETWEEN($E$14,$F$14)*$L$9)+$L$10+$L$18</f>
        <v>999716.39339203853</v>
      </c>
      <c r="M163" s="37">
        <f ca="1">(RANDBETWEEN($E$14,$F$14)*$M$9)+$M$10+$M$18</f>
        <v>1424944.0925515993</v>
      </c>
      <c r="N163" s="37">
        <f t="shared" ref="N163" ca="1" si="126">NPV($E$23+$F$23,H163:M163)+$H$4</f>
        <v>1491065.3025506642</v>
      </c>
    </row>
    <row r="164" spans="4:14" x14ac:dyDescent="0.25">
      <c r="D164" s="33"/>
      <c r="E164" s="33">
        <v>134</v>
      </c>
      <c r="F164" s="37"/>
      <c r="G164" s="37"/>
      <c r="H164" s="37">
        <f t="shared" si="2"/>
        <v>868800</v>
      </c>
      <c r="I164" s="37">
        <f ca="1">(RANDBETWEEN($E$14,$F$14)*$I$9)+$I$10+$I$18</f>
        <v>-189819.59895313275</v>
      </c>
      <c r="J164" s="37">
        <f ca="1">(RANDBETWEEN($E$14,$F$14)*$J$9)+$J$10+$J$18</f>
        <v>-9238.8910066427197</v>
      </c>
      <c r="K164" s="37">
        <f ca="1">(RANDBETWEEN($E$14,$F$14)*$K$9)+$K$10+$K$18</f>
        <v>24363.532183028292</v>
      </c>
      <c r="L164" s="37">
        <f ca="1">(RANDBETWEEN($E$14,$F$14)*$L$9)+$L$10+$L$18</f>
        <v>999716.39339203853</v>
      </c>
      <c r="M164" s="37">
        <f ca="1">(RANDBETWEEN($E$14,$F$14)*$M$9)+$M$10+$M$18</f>
        <v>1424944.0925515993</v>
      </c>
      <c r="N164" s="37">
        <f t="shared" ref="N164" ca="1" si="127">NPV($E$23+$F$23,H164:M164)+$H$4</f>
        <v>1454320.8108689203</v>
      </c>
    </row>
    <row r="165" spans="4:14" x14ac:dyDescent="0.25">
      <c r="D165" s="33"/>
      <c r="E165" s="33">
        <v>135</v>
      </c>
      <c r="F165" s="37"/>
      <c r="G165" s="37"/>
      <c r="H165" s="37">
        <f t="shared" si="2"/>
        <v>868800</v>
      </c>
      <c r="I165" s="37">
        <f ca="1">(RANDBETWEEN($E$14,$F$14)*$I$9)+$I$10+$I$18</f>
        <v>-189819.59895313275</v>
      </c>
      <c r="J165" s="37">
        <f ca="1">(RANDBETWEEN($E$14,$F$14)*$J$9)+$J$10+$J$18</f>
        <v>221933.48456383706</v>
      </c>
      <c r="K165" s="37">
        <f ca="1">(RANDBETWEEN($E$14,$F$14)*$K$9)+$K$10+$K$18</f>
        <v>24363.532183028292</v>
      </c>
      <c r="L165" s="37">
        <f ca="1">(RANDBETWEEN($E$14,$F$14)*$L$9)+$L$10+$L$18</f>
        <v>671221.40421803342</v>
      </c>
      <c r="M165" s="37">
        <f ca="1">(RANDBETWEEN($E$14,$F$14)*$M$9)+$M$10+$M$18</f>
        <v>1043245.7659826493</v>
      </c>
      <c r="N165" s="37">
        <f t="shared" ref="N165" ca="1" si="128">NPV($E$23+$F$23,H165:M165)+$H$4</f>
        <v>1111802.6129007479</v>
      </c>
    </row>
    <row r="166" spans="4:14" x14ac:dyDescent="0.25">
      <c r="D166" s="33"/>
      <c r="E166" s="33">
        <v>136</v>
      </c>
      <c r="F166" s="37"/>
      <c r="G166" s="37"/>
      <c r="H166" s="37">
        <f t="shared" si="2"/>
        <v>868800</v>
      </c>
      <c r="I166" s="37">
        <f ca="1">(RANDBETWEEN($E$14,$F$14)*$I$9)+$I$10+$I$18</f>
        <v>-369472.96408399101</v>
      </c>
      <c r="J166" s="37">
        <f ca="1">(RANDBETWEEN($E$14,$F$14)*$J$9)+$J$10+$J$18</f>
        <v>221933.48456383706</v>
      </c>
      <c r="K166" s="37">
        <f ca="1">(RANDBETWEEN($E$14,$F$14)*$K$9)+$K$10+$K$18</f>
        <v>24363.532183028292</v>
      </c>
      <c r="L166" s="37">
        <f ca="1">(RANDBETWEEN($E$14,$F$14)*$L$9)+$L$10+$L$18</f>
        <v>671221.40421803342</v>
      </c>
      <c r="M166" s="37">
        <f ca="1">(RANDBETWEEN($E$14,$F$14)*$M$9)+$M$10+$M$18</f>
        <v>1424944.0925515993</v>
      </c>
      <c r="N166" s="37">
        <f t="shared" ref="N166" ca="1" si="129">NPV($E$23+$F$23,H166:M166)+$H$4</f>
        <v>1233680.8829790577</v>
      </c>
    </row>
    <row r="167" spans="4:14" x14ac:dyDescent="0.25">
      <c r="D167" s="33"/>
      <c r="E167" s="33">
        <v>137</v>
      </c>
      <c r="F167" s="37"/>
      <c r="G167" s="37"/>
      <c r="H167" s="37">
        <f t="shared" si="2"/>
        <v>868800</v>
      </c>
      <c r="I167" s="37">
        <f ca="1">(RANDBETWEEN($E$14,$F$14)*$I$9)+$I$10+$I$18</f>
        <v>-369472.96408399101</v>
      </c>
      <c r="J167" s="37">
        <f ca="1">(RANDBETWEEN($E$14,$F$14)*$J$9)+$J$10+$J$18</f>
        <v>221933.48456383706</v>
      </c>
      <c r="K167" s="37">
        <f ca="1">(RANDBETWEEN($E$14,$F$14)*$K$9)+$K$10+$K$18</f>
        <v>260393.25392346107</v>
      </c>
      <c r="L167" s="37">
        <f ca="1">(RANDBETWEEN($E$14,$F$14)*$L$9)+$L$10+$L$18</f>
        <v>999716.39339203853</v>
      </c>
      <c r="M167" s="37">
        <f ca="1">(RANDBETWEEN($E$14,$F$14)*$M$9)+$M$10+$M$18</f>
        <v>1424944.0925515993</v>
      </c>
      <c r="N167" s="37">
        <f t="shared" ref="N167" ca="1" si="130">NPV($E$23+$F$23,H167:M167)+$H$4</f>
        <v>1685247.5387509572</v>
      </c>
    </row>
    <row r="168" spans="4:14" x14ac:dyDescent="0.25">
      <c r="D168" s="33"/>
      <c r="E168" s="33">
        <v>138</v>
      </c>
      <c r="F168" s="37"/>
      <c r="G168" s="37"/>
      <c r="H168" s="37">
        <f t="shared" si="2"/>
        <v>868800</v>
      </c>
      <c r="I168" s="37">
        <f ca="1">(RANDBETWEEN($E$14,$F$14)*$I$9)+$I$10+$I$18</f>
        <v>-189819.59895313275</v>
      </c>
      <c r="J168" s="37">
        <f ca="1">(RANDBETWEEN($E$14,$F$14)*$J$9)+$J$10+$J$18</f>
        <v>-9238.8910066427197</v>
      </c>
      <c r="K168" s="37">
        <f ca="1">(RANDBETWEEN($E$14,$F$14)*$K$9)+$K$10+$K$18</f>
        <v>24363.532183028292</v>
      </c>
      <c r="L168" s="37">
        <f ca="1">(RANDBETWEEN($E$14,$F$14)*$L$9)+$L$10+$L$18</f>
        <v>999716.39339203853</v>
      </c>
      <c r="M168" s="37">
        <f ca="1">(RANDBETWEEN($E$14,$F$14)*$M$9)+$M$10+$M$18</f>
        <v>1424944.0925515993</v>
      </c>
      <c r="N168" s="37">
        <f t="shared" ref="N168" ca="1" si="131">NPV($E$23+$F$23,H168:M168)+$H$4</f>
        <v>1454320.8108689203</v>
      </c>
    </row>
    <row r="169" spans="4:14" x14ac:dyDescent="0.25">
      <c r="D169" s="33"/>
      <c r="E169" s="33">
        <v>139</v>
      </c>
      <c r="F169" s="37"/>
      <c r="G169" s="37"/>
      <c r="H169" s="37">
        <f t="shared" si="2"/>
        <v>868800</v>
      </c>
      <c r="I169" s="37">
        <f ca="1">(RANDBETWEEN($E$14,$F$14)*$I$9)+$I$10+$I$18</f>
        <v>-369472.96408399101</v>
      </c>
      <c r="J169" s="37">
        <f ca="1">(RANDBETWEEN($E$14,$F$14)*$J$9)+$J$10+$J$18</f>
        <v>-9238.8910066427197</v>
      </c>
      <c r="K169" s="37">
        <f ca="1">(RANDBETWEEN($E$14,$F$14)*$K$9)+$K$10+$K$18</f>
        <v>260393.25392346107</v>
      </c>
      <c r="L169" s="37">
        <f ca="1">(RANDBETWEEN($E$14,$F$14)*$L$9)+$L$10+$L$18</f>
        <v>671221.40421803342</v>
      </c>
      <c r="M169" s="37">
        <f ca="1">(RANDBETWEEN($E$14,$F$14)*$M$9)+$M$10+$M$18</f>
        <v>1043245.7659826493</v>
      </c>
      <c r="N169" s="37">
        <f t="shared" ref="N169" ca="1" si="132">NPV($E$23+$F$23,H169:M169)+$H$4</f>
        <v>943338.56126354542</v>
      </c>
    </row>
    <row r="170" spans="4:14" x14ac:dyDescent="0.25">
      <c r="D170" s="33"/>
      <c r="E170" s="33">
        <v>140</v>
      </c>
      <c r="F170" s="37"/>
      <c r="G170" s="37"/>
      <c r="H170" s="37">
        <f t="shared" si="2"/>
        <v>868800</v>
      </c>
      <c r="I170" s="37">
        <f ca="1">(RANDBETWEEN($E$14,$F$14)*$I$9)+$I$10+$I$18</f>
        <v>-189819.59895313275</v>
      </c>
      <c r="J170" s="37">
        <f ca="1">(RANDBETWEEN($E$14,$F$14)*$J$9)+$J$10+$J$18</f>
        <v>-9238.8910066427197</v>
      </c>
      <c r="K170" s="37">
        <f ca="1">(RANDBETWEEN($E$14,$F$14)*$K$9)+$K$10+$K$18</f>
        <v>260393.25392346107</v>
      </c>
      <c r="L170" s="37">
        <f ca="1">(RANDBETWEEN($E$14,$F$14)*$L$9)+$L$10+$L$18</f>
        <v>999716.39339203853</v>
      </c>
      <c r="M170" s="37">
        <f ca="1">(RANDBETWEEN($E$14,$F$14)*$M$9)+$M$10+$M$18</f>
        <v>1043245.7659826493</v>
      </c>
      <c r="N170" s="37">
        <f t="shared" ref="N170" ca="1" si="133">NPV($E$23+$F$23,H170:M170)+$H$4</f>
        <v>1363673.8789130282</v>
      </c>
    </row>
    <row r="171" spans="4:14" x14ac:dyDescent="0.25">
      <c r="D171" s="33"/>
      <c r="E171" s="33">
        <v>141</v>
      </c>
      <c r="F171" s="37"/>
      <c r="G171" s="37"/>
      <c r="H171" s="37">
        <f t="shared" si="2"/>
        <v>868800</v>
      </c>
      <c r="I171" s="37">
        <f ca="1">(RANDBETWEEN($E$14,$F$14)*$I$9)+$I$10+$I$18</f>
        <v>-189819.59895313275</v>
      </c>
      <c r="J171" s="37">
        <f ca="1">(RANDBETWEEN($E$14,$F$14)*$J$9)+$J$10+$J$18</f>
        <v>221933.48456383706</v>
      </c>
      <c r="K171" s="37">
        <f ca="1">(RANDBETWEEN($E$14,$F$14)*$K$9)+$K$10+$K$18</f>
        <v>260393.25392346107</v>
      </c>
      <c r="L171" s="37">
        <f ca="1">(RANDBETWEEN($E$14,$F$14)*$L$9)+$L$10+$L$18</f>
        <v>671221.40421803342</v>
      </c>
      <c r="M171" s="37">
        <f ca="1">(RANDBETWEEN($E$14,$F$14)*$M$9)+$M$10+$M$18</f>
        <v>1043245.7659826493</v>
      </c>
      <c r="N171" s="37">
        <f t="shared" ref="N171" ca="1" si="134">NPV($E$23+$F$23,H171:M171)+$H$4</f>
        <v>1305984.8491010414</v>
      </c>
    </row>
    <row r="172" spans="4:14" x14ac:dyDescent="0.25">
      <c r="D172" s="33"/>
      <c r="E172" s="33">
        <v>142</v>
      </c>
      <c r="F172" s="37"/>
      <c r="G172" s="37"/>
      <c r="H172" s="37">
        <f t="shared" si="2"/>
        <v>868800</v>
      </c>
      <c r="I172" s="37">
        <f ca="1">(RANDBETWEEN($E$14,$F$14)*$I$9)+$I$10+$I$18</f>
        <v>-189819.59895313275</v>
      </c>
      <c r="J172" s="37">
        <f ca="1">(RANDBETWEEN($E$14,$F$14)*$J$9)+$J$10+$J$18</f>
        <v>221933.48456383706</v>
      </c>
      <c r="K172" s="37">
        <f ca="1">(RANDBETWEEN($E$14,$F$14)*$K$9)+$K$10+$K$18</f>
        <v>260393.25392346107</v>
      </c>
      <c r="L172" s="37">
        <f ca="1">(RANDBETWEEN($E$14,$F$14)*$L$9)+$L$10+$L$18</f>
        <v>999716.39339203853</v>
      </c>
      <c r="M172" s="37">
        <f ca="1">(RANDBETWEEN($E$14,$F$14)*$M$9)+$M$10+$M$18</f>
        <v>1043245.7659826493</v>
      </c>
      <c r="N172" s="37">
        <f t="shared" ref="N172" ca="1" si="135">NPV($E$23+$F$23,H172:M172)+$H$4</f>
        <v>1563369.2686726474</v>
      </c>
    </row>
    <row r="173" spans="4:14" x14ac:dyDescent="0.25">
      <c r="D173" s="33"/>
      <c r="E173" s="33">
        <v>143</v>
      </c>
      <c r="F173" s="37"/>
      <c r="G173" s="37"/>
      <c r="H173" s="37">
        <f t="shared" si="2"/>
        <v>868800</v>
      </c>
      <c r="I173" s="37">
        <f ca="1">(RANDBETWEEN($E$14,$F$14)*$I$9)+$I$10+$I$18</f>
        <v>-369472.96408399101</v>
      </c>
      <c r="J173" s="37">
        <f ca="1">(RANDBETWEEN($E$14,$F$14)*$J$9)+$J$10+$J$18</f>
        <v>-9238.8910066427197</v>
      </c>
      <c r="K173" s="37">
        <f ca="1">(RANDBETWEEN($E$14,$F$14)*$K$9)+$K$10+$K$18</f>
        <v>24363.532183028292</v>
      </c>
      <c r="L173" s="37">
        <f ca="1">(RANDBETWEEN($E$14,$F$14)*$L$9)+$L$10+$L$18</f>
        <v>999716.39339203853</v>
      </c>
      <c r="M173" s="37">
        <f ca="1">(RANDBETWEEN($E$14,$F$14)*$M$9)+$M$10+$M$18</f>
        <v>1424944.0925515993</v>
      </c>
      <c r="N173" s="37">
        <f t="shared" ref="N173" ca="1" si="136">NPV($E$23+$F$23,H173:M173)+$H$4</f>
        <v>1291369.9127910445</v>
      </c>
    </row>
    <row r="174" spans="4:14" x14ac:dyDescent="0.25">
      <c r="D174" s="33"/>
      <c r="E174" s="33">
        <v>144</v>
      </c>
      <c r="F174" s="37"/>
      <c r="G174" s="37"/>
      <c r="H174" s="37">
        <f t="shared" si="2"/>
        <v>868800</v>
      </c>
      <c r="I174" s="37">
        <f ca="1">(RANDBETWEEN($E$14,$F$14)*$I$9)+$I$10+$I$18</f>
        <v>-369472.96408399101</v>
      </c>
      <c r="J174" s="37">
        <f ca="1">(RANDBETWEEN($E$14,$F$14)*$J$9)+$J$10+$J$18</f>
        <v>221933.48456383706</v>
      </c>
      <c r="K174" s="37">
        <f ca="1">(RANDBETWEEN($E$14,$F$14)*$K$9)+$K$10+$K$18</f>
        <v>24363.532183028292</v>
      </c>
      <c r="L174" s="37">
        <f ca="1">(RANDBETWEEN($E$14,$F$14)*$L$9)+$L$10+$L$18</f>
        <v>999716.39339203853</v>
      </c>
      <c r="M174" s="37">
        <f ca="1">(RANDBETWEEN($E$14,$F$14)*$M$9)+$M$10+$M$18</f>
        <v>1043245.7659826493</v>
      </c>
      <c r="N174" s="37">
        <f t="shared" ref="N174" ca="1" si="137">NPV($E$23+$F$23,H174:M174)+$H$4</f>
        <v>1206236.1343944785</v>
      </c>
    </row>
    <row r="175" spans="4:14" x14ac:dyDescent="0.25">
      <c r="D175" s="33"/>
      <c r="E175" s="33">
        <v>145</v>
      </c>
      <c r="F175" s="37"/>
      <c r="G175" s="37"/>
      <c r="H175" s="37">
        <f t="shared" si="2"/>
        <v>868800</v>
      </c>
      <c r="I175" s="37">
        <f ca="1">(RANDBETWEEN($E$14,$F$14)*$I$9)+$I$10+$I$18</f>
        <v>-189819.59895313275</v>
      </c>
      <c r="J175" s="37">
        <f ca="1">(RANDBETWEEN($E$14,$F$14)*$J$9)+$J$10+$J$18</f>
        <v>-9238.8910066427197</v>
      </c>
      <c r="K175" s="37">
        <f ca="1">(RANDBETWEEN($E$14,$F$14)*$K$9)+$K$10+$K$18</f>
        <v>24363.532183028292</v>
      </c>
      <c r="L175" s="37">
        <f ca="1">(RANDBETWEEN($E$14,$F$14)*$L$9)+$L$10+$L$18</f>
        <v>671221.40421803342</v>
      </c>
      <c r="M175" s="37">
        <f ca="1">(RANDBETWEEN($E$14,$F$14)*$M$9)+$M$10+$M$18</f>
        <v>1043245.7659826493</v>
      </c>
      <c r="N175" s="37">
        <f t="shared" ref="N175" ca="1" si="138">NPV($E$23+$F$23,H175:M175)+$H$4</f>
        <v>912107.22314112843</v>
      </c>
    </row>
    <row r="176" spans="4:14" x14ac:dyDescent="0.25">
      <c r="D176" s="33"/>
      <c r="E176" s="33">
        <v>146</v>
      </c>
      <c r="F176" s="37"/>
      <c r="G176" s="37"/>
      <c r="H176" s="37">
        <f t="shared" si="2"/>
        <v>868800</v>
      </c>
      <c r="I176" s="37">
        <f ca="1">(RANDBETWEEN($E$14,$F$14)*$I$9)+$I$10+$I$18</f>
        <v>-189819.59895313275</v>
      </c>
      <c r="J176" s="37">
        <f ca="1">(RANDBETWEEN($E$14,$F$14)*$J$9)+$J$10+$J$18</f>
        <v>-9238.8910066427197</v>
      </c>
      <c r="K176" s="37">
        <f ca="1">(RANDBETWEEN($E$14,$F$14)*$K$9)+$K$10+$K$18</f>
        <v>24363.532183028292</v>
      </c>
      <c r="L176" s="37">
        <f ca="1">(RANDBETWEEN($E$14,$F$14)*$L$9)+$L$10+$L$18</f>
        <v>671221.40421803342</v>
      </c>
      <c r="M176" s="37">
        <f ca="1">(RANDBETWEEN($E$14,$F$14)*$M$9)+$M$10+$M$18</f>
        <v>1424944.0925515993</v>
      </c>
      <c r="N176" s="37">
        <f t="shared" ref="N176" ca="1" si="139">NPV($E$23+$F$23,H176:M176)+$H$4</f>
        <v>1196936.3912973143</v>
      </c>
    </row>
    <row r="177" spans="4:17" x14ac:dyDescent="0.25">
      <c r="D177" s="33"/>
      <c r="E177" s="33">
        <v>147</v>
      </c>
      <c r="F177" s="37"/>
      <c r="G177" s="37"/>
      <c r="H177" s="37">
        <f t="shared" si="2"/>
        <v>868800</v>
      </c>
      <c r="I177" s="37">
        <f ca="1">(RANDBETWEEN($E$14,$F$14)*$I$9)+$I$10+$I$18</f>
        <v>-189819.59895313275</v>
      </c>
      <c r="J177" s="37">
        <f ca="1">(RANDBETWEEN($E$14,$F$14)*$J$9)+$J$10+$J$18</f>
        <v>221933.48456383706</v>
      </c>
      <c r="K177" s="37">
        <f ca="1">(RANDBETWEEN($E$14,$F$14)*$K$9)+$K$10+$K$18</f>
        <v>24363.532183028292</v>
      </c>
      <c r="L177" s="37">
        <f ca="1">(RANDBETWEEN($E$14,$F$14)*$L$9)+$L$10+$L$18</f>
        <v>999716.39339203853</v>
      </c>
      <c r="M177" s="37">
        <f ca="1">(RANDBETWEEN($E$14,$F$14)*$M$9)+$M$10+$M$18</f>
        <v>1424944.0925515993</v>
      </c>
      <c r="N177" s="37">
        <f t="shared" ref="N177" ca="1" si="140">NPV($E$23+$F$23,H177:M177)+$H$4</f>
        <v>1654016.20062854</v>
      </c>
    </row>
    <row r="178" spans="4:17" x14ac:dyDescent="0.25">
      <c r="D178" s="33"/>
      <c r="E178" s="33">
        <v>148</v>
      </c>
      <c r="F178" s="37"/>
      <c r="G178" s="37"/>
      <c r="H178" s="37">
        <f t="shared" si="2"/>
        <v>868800</v>
      </c>
      <c r="I178" s="37">
        <f ca="1">(RANDBETWEEN($E$14,$F$14)*$I$9)+$I$10+$I$18</f>
        <v>-189819.59895313275</v>
      </c>
      <c r="J178" s="37">
        <f ca="1">(RANDBETWEEN($E$14,$F$14)*$J$9)+$J$10+$J$18</f>
        <v>221933.48456383706</v>
      </c>
      <c r="K178" s="37">
        <f ca="1">(RANDBETWEEN($E$14,$F$14)*$K$9)+$K$10+$K$18</f>
        <v>260393.25392346107</v>
      </c>
      <c r="L178" s="37">
        <f ca="1">(RANDBETWEEN($E$14,$F$14)*$L$9)+$L$10+$L$18</f>
        <v>999716.39339203853</v>
      </c>
      <c r="M178" s="37">
        <f ca="1">(RANDBETWEEN($E$14,$F$14)*$M$9)+$M$10+$M$18</f>
        <v>1424944.0925515993</v>
      </c>
      <c r="N178" s="37">
        <f t="shared" ref="N178" ca="1" si="141">NPV($E$23+$F$23,H178:M178)+$H$4</f>
        <v>1848198.4368288331</v>
      </c>
    </row>
    <row r="179" spans="4:17" x14ac:dyDescent="0.25">
      <c r="D179" s="33"/>
      <c r="E179" s="33">
        <v>149</v>
      </c>
      <c r="F179" s="37"/>
      <c r="G179" s="37"/>
      <c r="H179" s="37">
        <f t="shared" si="2"/>
        <v>868800</v>
      </c>
      <c r="I179" s="37">
        <f ca="1">(RANDBETWEEN($E$14,$F$14)*$I$9)+$I$10+$I$18</f>
        <v>-369472.96408399101</v>
      </c>
      <c r="J179" s="37">
        <f ca="1">(RANDBETWEEN($E$14,$F$14)*$J$9)+$J$10+$J$18</f>
        <v>-9238.8910066427197</v>
      </c>
      <c r="K179" s="37">
        <f ca="1">(RANDBETWEEN($E$14,$F$14)*$K$9)+$K$10+$K$18</f>
        <v>260393.25392346107</v>
      </c>
      <c r="L179" s="37">
        <f ca="1">(RANDBETWEEN($E$14,$F$14)*$L$9)+$L$10+$L$18</f>
        <v>999716.39339203853</v>
      </c>
      <c r="M179" s="37">
        <f ca="1">(RANDBETWEEN($E$14,$F$14)*$M$9)+$M$10+$M$18</f>
        <v>1043245.7659826493</v>
      </c>
      <c r="N179" s="37">
        <f t="shared" ref="N179" ca="1" si="142">NPV($E$23+$F$23,H179:M179)+$H$4</f>
        <v>1200722.9808351514</v>
      </c>
    </row>
    <row r="180" spans="4:17" x14ac:dyDescent="0.25">
      <c r="D180" s="33"/>
      <c r="E180" s="33">
        <v>150</v>
      </c>
      <c r="F180" s="37"/>
      <c r="G180" s="37"/>
      <c r="H180" s="37">
        <f t="shared" si="2"/>
        <v>868800</v>
      </c>
      <c r="I180" s="37">
        <f ca="1">(RANDBETWEEN($E$14,$F$14)*$I$9)+$I$10+$I$18</f>
        <v>-369472.96408399101</v>
      </c>
      <c r="J180" s="37">
        <f ca="1">(RANDBETWEEN($E$14,$F$14)*$J$9)+$J$10+$J$18</f>
        <v>221933.48456383706</v>
      </c>
      <c r="K180" s="37">
        <f ca="1">(RANDBETWEEN($E$14,$F$14)*$K$9)+$K$10+$K$18</f>
        <v>260393.25392346107</v>
      </c>
      <c r="L180" s="37">
        <f ca="1">(RANDBETWEEN($E$14,$F$14)*$L$9)+$L$10+$L$18</f>
        <v>671221.40421803342</v>
      </c>
      <c r="M180" s="37">
        <f ca="1">(RANDBETWEEN($E$14,$F$14)*$M$9)+$M$10+$M$18</f>
        <v>1043245.7659826493</v>
      </c>
      <c r="N180" s="37">
        <f t="shared" ref="N180" ca="1" si="143">NPV($E$23+$F$23,H180:M180)+$H$4</f>
        <v>1143033.9510231656</v>
      </c>
    </row>
    <row r="181" spans="4:17" x14ac:dyDescent="0.25">
      <c r="D181" s="33"/>
      <c r="E181" s="33">
        <v>151</v>
      </c>
      <c r="F181" s="37"/>
      <c r="G181" s="37"/>
      <c r="H181" s="37">
        <f t="shared" si="2"/>
        <v>868800</v>
      </c>
      <c r="I181" s="37">
        <f ca="1">(RANDBETWEEN($E$14,$F$14)*$I$9)+$I$10+$I$18</f>
        <v>-369472.96408399101</v>
      </c>
      <c r="J181" s="37">
        <f ca="1">(RANDBETWEEN($E$14,$F$14)*$J$9)+$J$10+$J$18</f>
        <v>-9238.8910066427197</v>
      </c>
      <c r="K181" s="37">
        <f ca="1">(RANDBETWEEN($E$14,$F$14)*$K$9)+$K$10+$K$18</f>
        <v>24363.532183028292</v>
      </c>
      <c r="L181" s="37">
        <f ca="1">(RANDBETWEEN($E$14,$F$14)*$L$9)+$L$10+$L$18</f>
        <v>999716.39339203853</v>
      </c>
      <c r="M181" s="37">
        <f ca="1">(RANDBETWEEN($E$14,$F$14)*$M$9)+$M$10+$M$18</f>
        <v>1043245.7659826493</v>
      </c>
      <c r="N181" s="37">
        <f t="shared" ref="N181" ca="1" si="144">NPV($E$23+$F$23,H181:M181)+$H$4</f>
        <v>1006540.7446348586</v>
      </c>
    </row>
    <row r="182" spans="4:17" x14ac:dyDescent="0.25">
      <c r="D182" s="33"/>
      <c r="E182" s="33">
        <v>152</v>
      </c>
      <c r="F182" s="37"/>
      <c r="G182" s="37"/>
      <c r="H182" s="37">
        <f t="shared" si="2"/>
        <v>868800</v>
      </c>
      <c r="I182" s="37">
        <f ca="1">(RANDBETWEEN($E$14,$F$14)*$I$9)+$I$10+$I$18</f>
        <v>-369472.96408399101</v>
      </c>
      <c r="J182" s="37">
        <f ca="1">(RANDBETWEEN($E$14,$F$14)*$J$9)+$J$10+$J$18</f>
        <v>-9238.8910066427197</v>
      </c>
      <c r="K182" s="37">
        <f ca="1">(RANDBETWEEN($E$14,$F$14)*$K$9)+$K$10+$K$18</f>
        <v>260393.25392346107</v>
      </c>
      <c r="L182" s="37">
        <f ca="1">(RANDBETWEEN($E$14,$F$14)*$L$9)+$L$10+$L$18</f>
        <v>999716.39339203853</v>
      </c>
      <c r="M182" s="37">
        <f ca="1">(RANDBETWEEN($E$14,$F$14)*$M$9)+$M$10+$M$18</f>
        <v>1424944.0925515993</v>
      </c>
      <c r="N182" s="37">
        <f t="shared" ref="N182" ca="1" si="145">NPV($E$23+$F$23,H182:M182)+$H$4</f>
        <v>1485552.1489913375</v>
      </c>
    </row>
    <row r="183" spans="4:17" x14ac:dyDescent="0.25">
      <c r="D183" s="33"/>
      <c r="E183" s="33">
        <v>153</v>
      </c>
      <c r="F183" s="37"/>
      <c r="G183" s="37"/>
      <c r="H183" s="37">
        <f t="shared" si="2"/>
        <v>868800</v>
      </c>
      <c r="I183" s="37">
        <f ca="1">(RANDBETWEEN($E$14,$F$14)*$I$9)+$I$10+$I$18</f>
        <v>-369472.96408399101</v>
      </c>
      <c r="J183" s="37">
        <f ca="1">(RANDBETWEEN($E$14,$F$14)*$J$9)+$J$10+$J$18</f>
        <v>-9238.8910066427197</v>
      </c>
      <c r="K183" s="37">
        <f ca="1">(RANDBETWEEN($E$14,$F$14)*$K$9)+$K$10+$K$18</f>
        <v>260393.25392346107</v>
      </c>
      <c r="L183" s="37">
        <f ca="1">(RANDBETWEEN($E$14,$F$14)*$L$9)+$L$10+$L$18</f>
        <v>999716.39339203853</v>
      </c>
      <c r="M183" s="37">
        <f ca="1">(RANDBETWEEN($E$14,$F$14)*$M$9)+$M$10+$M$18</f>
        <v>1424944.0925515993</v>
      </c>
      <c r="N183" s="37">
        <f t="shared" ref="N183" ca="1" si="146">NPV($E$23+$F$23,H183:M183)+$H$4</f>
        <v>1485552.1489913375</v>
      </c>
    </row>
    <row r="184" spans="4:17" x14ac:dyDescent="0.25">
      <c r="D184" s="33"/>
      <c r="E184" s="33">
        <v>154</v>
      </c>
      <c r="F184" s="37"/>
      <c r="G184" s="37"/>
      <c r="H184" s="37">
        <f t="shared" si="2"/>
        <v>868800</v>
      </c>
      <c r="I184" s="37">
        <f ca="1">(RANDBETWEEN($E$14,$F$14)*$I$9)+$I$10+$I$18</f>
        <v>-369472.96408399101</v>
      </c>
      <c r="J184" s="37">
        <f ca="1">(RANDBETWEEN($E$14,$F$14)*$J$9)+$J$10+$J$18</f>
        <v>221933.48456383706</v>
      </c>
      <c r="K184" s="37">
        <f ca="1">(RANDBETWEEN($E$14,$F$14)*$K$9)+$K$10+$K$18</f>
        <v>260393.25392346107</v>
      </c>
      <c r="L184" s="37">
        <f ca="1">(RANDBETWEEN($E$14,$F$14)*$L$9)+$L$10+$L$18</f>
        <v>671221.40421803342</v>
      </c>
      <c r="M184" s="37">
        <f ca="1">(RANDBETWEEN($E$14,$F$14)*$M$9)+$M$10+$M$18</f>
        <v>1043245.7659826493</v>
      </c>
      <c r="N184" s="37">
        <f t="shared" ref="N184" ca="1" si="147">NPV($E$23+$F$23,H184:M184)+$H$4</f>
        <v>1143033.9510231656</v>
      </c>
    </row>
    <row r="185" spans="4:17" x14ac:dyDescent="0.25">
      <c r="D185" s="33"/>
      <c r="E185" s="33">
        <v>155</v>
      </c>
      <c r="F185" s="37"/>
      <c r="G185" s="37"/>
      <c r="H185" s="37">
        <f t="shared" si="2"/>
        <v>868800</v>
      </c>
      <c r="I185" s="37">
        <f ca="1">(RANDBETWEEN($E$14,$F$14)*$I$9)+$I$10+$I$18</f>
        <v>-369472.96408399101</v>
      </c>
      <c r="J185" s="37">
        <f ca="1">(RANDBETWEEN($E$14,$F$14)*$J$9)+$J$10+$J$18</f>
        <v>-9238.8910066427197</v>
      </c>
      <c r="K185" s="37">
        <f ca="1">(RANDBETWEEN($E$14,$F$14)*$K$9)+$K$10+$K$18</f>
        <v>260393.25392346107</v>
      </c>
      <c r="L185" s="37">
        <f ca="1">(RANDBETWEEN($E$14,$F$14)*$L$9)+$L$10+$L$18</f>
        <v>671221.40421803342</v>
      </c>
      <c r="M185" s="37">
        <f ca="1">(RANDBETWEEN($E$14,$F$14)*$M$9)+$M$10+$M$18</f>
        <v>1043245.7659826493</v>
      </c>
      <c r="N185" s="37">
        <f t="shared" ref="N185" ca="1" si="148">NPV($E$23+$F$23,H185:M185)+$H$4</f>
        <v>943338.56126354542</v>
      </c>
    </row>
    <row r="186" spans="4:17" x14ac:dyDescent="0.25">
      <c r="D186" s="33"/>
      <c r="E186" s="33">
        <v>156</v>
      </c>
      <c r="F186" s="37"/>
      <c r="G186" s="37"/>
      <c r="H186" s="37">
        <f t="shared" si="2"/>
        <v>868800</v>
      </c>
      <c r="I186" s="37">
        <f ca="1">(RANDBETWEEN($E$14,$F$14)*$I$9)+$I$10+$I$18</f>
        <v>-369472.96408399101</v>
      </c>
      <c r="J186" s="37">
        <f ca="1">(RANDBETWEEN($E$14,$F$14)*$J$9)+$J$10+$J$18</f>
        <v>-9238.8910066427197</v>
      </c>
      <c r="K186" s="37">
        <f ca="1">(RANDBETWEEN($E$14,$F$14)*$K$9)+$K$10+$K$18</f>
        <v>24363.532183028292</v>
      </c>
      <c r="L186" s="37">
        <f ca="1">(RANDBETWEEN($E$14,$F$14)*$L$9)+$L$10+$L$18</f>
        <v>999716.39339203853</v>
      </c>
      <c r="M186" s="37">
        <f ca="1">(RANDBETWEEN($E$14,$F$14)*$M$9)+$M$10+$M$18</f>
        <v>1043245.7659826493</v>
      </c>
      <c r="N186" s="37">
        <f t="shared" ref="N186" ca="1" si="149">NPV($E$23+$F$23,H186:M186)+$H$4</f>
        <v>1006540.7446348586</v>
      </c>
    </row>
    <row r="187" spans="4:17" x14ac:dyDescent="0.25">
      <c r="D187" s="33"/>
      <c r="E187" s="33">
        <v>157</v>
      </c>
      <c r="F187" s="37"/>
      <c r="G187" s="37"/>
      <c r="H187" s="37">
        <f t="shared" si="2"/>
        <v>868800</v>
      </c>
      <c r="I187" s="37">
        <f ca="1">(RANDBETWEEN($E$14,$F$14)*$I$9)+$I$10+$I$18</f>
        <v>-369472.96408399101</v>
      </c>
      <c r="J187" s="37">
        <f ca="1">(RANDBETWEEN($E$14,$F$14)*$J$9)+$J$10+$J$18</f>
        <v>221933.48456383706</v>
      </c>
      <c r="K187" s="37">
        <f ca="1">(RANDBETWEEN($E$14,$F$14)*$K$9)+$K$10+$K$18</f>
        <v>260393.25392346107</v>
      </c>
      <c r="L187" s="37">
        <f ca="1">(RANDBETWEEN($E$14,$F$14)*$L$9)+$L$10+$L$18</f>
        <v>999716.39339203853</v>
      </c>
      <c r="M187" s="37">
        <f ca="1">(RANDBETWEEN($E$14,$F$14)*$M$9)+$M$10+$M$18</f>
        <v>1424944.0925515993</v>
      </c>
      <c r="N187" s="37">
        <f t="shared" ref="N187" ca="1" si="150">NPV($E$23+$F$23,H187:M187)+$H$4</f>
        <v>1685247.5387509572</v>
      </c>
    </row>
    <row r="188" spans="4:17" x14ac:dyDescent="0.25">
      <c r="D188" s="33"/>
      <c r="E188" s="33">
        <v>158</v>
      </c>
      <c r="F188" s="37"/>
      <c r="G188" s="37"/>
      <c r="H188" s="37">
        <f t="shared" si="2"/>
        <v>868800</v>
      </c>
      <c r="I188" s="37">
        <f ca="1">(RANDBETWEEN($E$14,$F$14)*$I$9)+$I$10+$I$18</f>
        <v>-189819.59895313275</v>
      </c>
      <c r="J188" s="37">
        <f ca="1">(RANDBETWEEN($E$14,$F$14)*$J$9)+$J$10+$J$18</f>
        <v>221933.48456383706</v>
      </c>
      <c r="K188" s="37">
        <f ca="1">(RANDBETWEEN($E$14,$F$14)*$K$9)+$K$10+$K$18</f>
        <v>24363.532183028292</v>
      </c>
      <c r="L188" s="37">
        <f ca="1">(RANDBETWEEN($E$14,$F$14)*$L$9)+$L$10+$L$18</f>
        <v>999716.39339203853</v>
      </c>
      <c r="M188" s="37">
        <f ca="1">(RANDBETWEEN($E$14,$F$14)*$M$9)+$M$10+$M$18</f>
        <v>1424944.0925515993</v>
      </c>
      <c r="N188" s="37">
        <f t="shared" ref="N188" ca="1" si="151">NPV($E$23+$F$23,H188:M188)+$H$4</f>
        <v>1654016.20062854</v>
      </c>
    </row>
    <row r="189" spans="4:17" x14ac:dyDescent="0.25">
      <c r="D189" s="33"/>
      <c r="E189" s="33">
        <v>159</v>
      </c>
      <c r="F189" s="37"/>
      <c r="G189" s="37"/>
      <c r="H189" s="37">
        <f t="shared" si="2"/>
        <v>868800</v>
      </c>
      <c r="I189" s="37">
        <f ca="1">(RANDBETWEEN($E$14,$F$14)*$I$9)+$I$10+$I$18</f>
        <v>-369472.96408399101</v>
      </c>
      <c r="J189" s="37">
        <f ca="1">(RANDBETWEEN($E$14,$F$14)*$J$9)+$J$10+$J$18</f>
        <v>221933.48456383706</v>
      </c>
      <c r="K189" s="37">
        <f ca="1">(RANDBETWEEN($E$14,$F$14)*$K$9)+$K$10+$K$18</f>
        <v>24363.532183028292</v>
      </c>
      <c r="L189" s="37">
        <f ca="1">(RANDBETWEEN($E$14,$F$14)*$L$9)+$L$10+$L$18</f>
        <v>999716.39339203853</v>
      </c>
      <c r="M189" s="37">
        <f ca="1">(RANDBETWEEN($E$14,$F$14)*$M$9)+$M$10+$M$18</f>
        <v>1043245.7659826493</v>
      </c>
      <c r="N189" s="37">
        <f t="shared" ref="N189" ca="1" si="152">NPV($E$23+$F$23,H189:M189)+$H$4</f>
        <v>1206236.1343944785</v>
      </c>
    </row>
    <row r="190" spans="4:17" x14ac:dyDescent="0.25">
      <c r="D190" s="33"/>
      <c r="E190" s="33">
        <v>160</v>
      </c>
      <c r="F190" s="37"/>
      <c r="G190" s="37"/>
      <c r="H190" s="37">
        <f t="shared" si="2"/>
        <v>868800</v>
      </c>
      <c r="I190" s="37">
        <f ca="1">(RANDBETWEEN($E$14,$F$14)*$I$9)+$I$10+$I$18</f>
        <v>-369472.96408399101</v>
      </c>
      <c r="J190" s="37">
        <f ca="1">(RANDBETWEEN($E$14,$F$14)*$J$9)+$J$10+$J$18</f>
        <v>-9238.8910066427197</v>
      </c>
      <c r="K190" s="37">
        <f ca="1">(RANDBETWEEN($E$14,$F$14)*$K$9)+$K$10+$K$18</f>
        <v>24363.532183028292</v>
      </c>
      <c r="L190" s="37">
        <f ca="1">(RANDBETWEEN($E$14,$F$14)*$L$9)+$L$10+$L$18</f>
        <v>671221.40421803342</v>
      </c>
      <c r="M190" s="37">
        <f ca="1">(RANDBETWEEN($E$14,$F$14)*$M$9)+$M$10+$M$18</f>
        <v>1424944.0925515993</v>
      </c>
      <c r="N190" s="37">
        <f t="shared" ref="N190" ca="1" si="153">NPV($E$23+$F$23,H190:M190)+$H$4</f>
        <v>1033985.4932194382</v>
      </c>
    </row>
    <row r="191" spans="4:17" x14ac:dyDescent="0.25">
      <c r="D191" s="33"/>
      <c r="E191" s="33">
        <v>161</v>
      </c>
      <c r="F191" s="37"/>
      <c r="G191" s="37"/>
      <c r="H191" s="37">
        <f t="shared" si="2"/>
        <v>868800</v>
      </c>
      <c r="I191" s="37">
        <f ca="1">(RANDBETWEEN($E$14,$F$14)*$I$9)+$I$10+$I$18</f>
        <v>-369472.96408399101</v>
      </c>
      <c r="J191" s="37">
        <f ca="1">(RANDBETWEEN($E$14,$F$14)*$J$9)+$J$10+$J$18</f>
        <v>221933.48456383706</v>
      </c>
      <c r="K191" s="37">
        <f ca="1">(RANDBETWEEN($E$14,$F$14)*$K$9)+$K$10+$K$18</f>
        <v>260393.25392346107</v>
      </c>
      <c r="L191" s="37">
        <f ca="1">(RANDBETWEEN($E$14,$F$14)*$L$9)+$L$10+$L$18</f>
        <v>671221.40421803342</v>
      </c>
      <c r="M191" s="37">
        <f ca="1">(RANDBETWEEN($E$14,$F$14)*$M$9)+$M$10+$M$18</f>
        <v>1043245.7659826493</v>
      </c>
      <c r="N191" s="37">
        <f t="shared" ref="N191" ca="1" si="154">NPV($E$23+$F$23,H191:M191)+$H$4</f>
        <v>1143033.9510231656</v>
      </c>
    </row>
    <row r="192" spans="4:17" x14ac:dyDescent="0.25">
      <c r="D192" s="33"/>
      <c r="E192" s="33">
        <v>162</v>
      </c>
      <c r="F192" s="37"/>
      <c r="G192" s="37"/>
      <c r="H192" s="37">
        <f t="shared" si="2"/>
        <v>868800</v>
      </c>
      <c r="I192" s="37">
        <f ca="1">(RANDBETWEEN($E$14,$F$14)*$I$9)+$I$10+$I$18</f>
        <v>-189819.59895313275</v>
      </c>
      <c r="J192" s="37">
        <f ca="1">(RANDBETWEEN($E$14,$F$14)*$J$9)+$J$10+$J$18</f>
        <v>221933.48456383706</v>
      </c>
      <c r="K192" s="37">
        <f ca="1">(RANDBETWEEN($E$14,$F$14)*$K$9)+$K$10+$K$18</f>
        <v>260393.25392346107</v>
      </c>
      <c r="L192" s="37">
        <f ca="1">(RANDBETWEEN($E$14,$F$14)*$L$9)+$L$10+$L$18</f>
        <v>999716.39339203853</v>
      </c>
      <c r="M192" s="37">
        <f ca="1">(RANDBETWEEN($E$14,$F$14)*$M$9)+$M$10+$M$18</f>
        <v>1043245.7659826493</v>
      </c>
      <c r="N192" s="37">
        <f t="shared" ref="N192" ca="1" si="155">NPV($E$23+$F$23,H192:M192)+$H$4</f>
        <v>1563369.2686726474</v>
      </c>
      <c r="Q192" s="37"/>
    </row>
    <row r="193" spans="4:17" x14ac:dyDescent="0.25">
      <c r="D193" s="33"/>
      <c r="E193" s="33">
        <v>163</v>
      </c>
      <c r="F193" s="37"/>
      <c r="G193" s="37"/>
      <c r="H193" s="37">
        <f t="shared" si="2"/>
        <v>868800</v>
      </c>
      <c r="I193" s="37">
        <f ca="1">(RANDBETWEEN($E$14,$F$14)*$I$9)+$I$10+$I$18</f>
        <v>-369472.96408399101</v>
      </c>
      <c r="J193" s="37">
        <f ca="1">(RANDBETWEEN($E$14,$F$14)*$J$9)+$J$10+$J$18</f>
        <v>-9238.8910066427197</v>
      </c>
      <c r="K193" s="37">
        <f ca="1">(RANDBETWEEN($E$14,$F$14)*$K$9)+$K$10+$K$18</f>
        <v>260393.25392346107</v>
      </c>
      <c r="L193" s="37">
        <f ca="1">(RANDBETWEEN($E$14,$F$14)*$L$9)+$L$10+$L$18</f>
        <v>671221.40421803342</v>
      </c>
      <c r="M193" s="37">
        <f ca="1">(RANDBETWEEN($E$14,$F$14)*$M$9)+$M$10+$M$18</f>
        <v>1424944.0925515993</v>
      </c>
      <c r="N193" s="37">
        <f t="shared" ref="N193" ca="1" si="156">NPV($E$23+$F$23,H193:M193)+$H$4</f>
        <v>1228167.7294197315</v>
      </c>
    </row>
    <row r="194" spans="4:17" x14ac:dyDescent="0.25">
      <c r="D194" s="33"/>
      <c r="E194" s="33">
        <v>164</v>
      </c>
      <c r="F194" s="37"/>
      <c r="G194" s="37"/>
      <c r="H194" s="37">
        <f t="shared" si="2"/>
        <v>868800</v>
      </c>
      <c r="I194" s="37">
        <f ca="1">(RANDBETWEEN($E$14,$F$14)*$I$9)+$I$10+$I$18</f>
        <v>-369472.96408399101</v>
      </c>
      <c r="J194" s="37">
        <f ca="1">(RANDBETWEEN($E$14,$F$14)*$J$9)+$J$10+$J$18</f>
        <v>-9238.8910066427197</v>
      </c>
      <c r="K194" s="37">
        <f ca="1">(RANDBETWEEN($E$14,$F$14)*$K$9)+$K$10+$K$18</f>
        <v>24363.532183028292</v>
      </c>
      <c r="L194" s="37">
        <f ca="1">(RANDBETWEEN($E$14,$F$14)*$L$9)+$L$10+$L$18</f>
        <v>671221.40421803342</v>
      </c>
      <c r="M194" s="37">
        <f ca="1">(RANDBETWEEN($E$14,$F$14)*$M$9)+$M$10+$M$18</f>
        <v>1043245.7659826493</v>
      </c>
      <c r="N194" s="37">
        <f t="shared" ref="N194" ca="1" si="157">NPV($E$23+$F$23,H194:M194)+$H$4</f>
        <v>749156.32506325236</v>
      </c>
      <c r="Q194" s="37"/>
    </row>
    <row r="195" spans="4:17" x14ac:dyDescent="0.25">
      <c r="D195" s="33"/>
      <c r="E195" s="33">
        <v>165</v>
      </c>
      <c r="F195" s="37"/>
      <c r="G195" s="37"/>
      <c r="H195" s="37">
        <f t="shared" si="2"/>
        <v>868800</v>
      </c>
      <c r="I195" s="37">
        <f ca="1">(RANDBETWEEN($E$14,$F$14)*$I$9)+$I$10+$I$18</f>
        <v>-189819.59895313275</v>
      </c>
      <c r="J195" s="37">
        <f ca="1">(RANDBETWEEN($E$14,$F$14)*$J$9)+$J$10+$J$18</f>
        <v>-9238.8910066427197</v>
      </c>
      <c r="K195" s="37">
        <f ca="1">(RANDBETWEEN($E$14,$F$14)*$K$9)+$K$10+$K$18</f>
        <v>24363.532183028292</v>
      </c>
      <c r="L195" s="37">
        <f ca="1">(RANDBETWEEN($E$14,$F$14)*$L$9)+$L$10+$L$18</f>
        <v>999716.39339203853</v>
      </c>
      <c r="M195" s="37">
        <f ca="1">(RANDBETWEEN($E$14,$F$14)*$M$9)+$M$10+$M$18</f>
        <v>1043245.7659826493</v>
      </c>
      <c r="N195" s="37">
        <f t="shared" ref="N195" ca="1" si="158">NPV($E$23+$F$23,H195:M195)+$H$4</f>
        <v>1169491.6427127346</v>
      </c>
    </row>
    <row r="196" spans="4:17" x14ac:dyDescent="0.25">
      <c r="D196" s="33"/>
      <c r="E196" s="33">
        <v>166</v>
      </c>
      <c r="F196" s="37"/>
      <c r="G196" s="37"/>
      <c r="H196" s="37">
        <f t="shared" si="2"/>
        <v>868800</v>
      </c>
      <c r="I196" s="37">
        <f ca="1">(RANDBETWEEN($E$14,$F$14)*$I$9)+$I$10+$I$18</f>
        <v>-189819.59895313275</v>
      </c>
      <c r="J196" s="37">
        <f ca="1">(RANDBETWEEN($E$14,$F$14)*$J$9)+$J$10+$J$18</f>
        <v>-9238.8910066427197</v>
      </c>
      <c r="K196" s="37">
        <f ca="1">(RANDBETWEEN($E$14,$F$14)*$K$9)+$K$10+$K$18</f>
        <v>260393.25392346107</v>
      </c>
      <c r="L196" s="37">
        <f ca="1">(RANDBETWEEN($E$14,$F$14)*$L$9)+$L$10+$L$18</f>
        <v>671221.40421803342</v>
      </c>
      <c r="M196" s="37">
        <f ca="1">(RANDBETWEEN($E$14,$F$14)*$M$9)+$M$10+$M$18</f>
        <v>1043245.7659826493</v>
      </c>
      <c r="N196" s="37">
        <f t="shared" ref="N196" ca="1" si="159">NPV($E$23+$F$23,H196:M196)+$H$4</f>
        <v>1106289.4593414213</v>
      </c>
    </row>
    <row r="197" spans="4:17" x14ac:dyDescent="0.25">
      <c r="D197" s="33"/>
      <c r="E197" s="33">
        <v>167</v>
      </c>
      <c r="F197" s="37"/>
      <c r="G197" s="37"/>
      <c r="H197" s="37">
        <f t="shared" si="2"/>
        <v>868800</v>
      </c>
      <c r="I197" s="37">
        <f ca="1">(RANDBETWEEN($E$14,$F$14)*$I$9)+$I$10+$I$18</f>
        <v>-369472.96408399101</v>
      </c>
      <c r="J197" s="37">
        <f ca="1">(RANDBETWEEN($E$14,$F$14)*$J$9)+$J$10+$J$18</f>
        <v>-9238.8910066427197</v>
      </c>
      <c r="K197" s="37">
        <f ca="1">(RANDBETWEEN($E$14,$F$14)*$K$9)+$K$10+$K$18</f>
        <v>24363.532183028292</v>
      </c>
      <c r="L197" s="37">
        <f ca="1">(RANDBETWEEN($E$14,$F$14)*$L$9)+$L$10+$L$18</f>
        <v>999716.39339203853</v>
      </c>
      <c r="M197" s="37">
        <f ca="1">(RANDBETWEEN($E$14,$F$14)*$M$9)+$M$10+$M$18</f>
        <v>1424944.0925515993</v>
      </c>
      <c r="N197" s="37">
        <f t="shared" ref="N197" ca="1" si="160">NPV($E$23+$F$23,H197:M197)+$H$4</f>
        <v>1291369.9127910445</v>
      </c>
    </row>
    <row r="198" spans="4:17" x14ac:dyDescent="0.25">
      <c r="D198" s="33"/>
      <c r="E198" s="33">
        <v>168</v>
      </c>
      <c r="F198" s="37"/>
      <c r="G198" s="37"/>
      <c r="H198" s="37">
        <f t="shared" si="2"/>
        <v>868800</v>
      </c>
      <c r="I198" s="37">
        <f ca="1">(RANDBETWEEN($E$14,$F$14)*$I$9)+$I$10+$I$18</f>
        <v>-369472.96408399101</v>
      </c>
      <c r="J198" s="37">
        <f ca="1">(RANDBETWEEN($E$14,$F$14)*$J$9)+$J$10+$J$18</f>
        <v>221933.48456383706</v>
      </c>
      <c r="K198" s="37">
        <f ca="1">(RANDBETWEEN($E$14,$F$14)*$K$9)+$K$10+$K$18</f>
        <v>24363.532183028292</v>
      </c>
      <c r="L198" s="37">
        <f ca="1">(RANDBETWEEN($E$14,$F$14)*$L$9)+$L$10+$L$18</f>
        <v>671221.40421803342</v>
      </c>
      <c r="M198" s="37">
        <f ca="1">(RANDBETWEEN($E$14,$F$14)*$M$9)+$M$10+$M$18</f>
        <v>1424944.0925515993</v>
      </c>
      <c r="N198" s="37">
        <f t="shared" ref="N198" ca="1" si="161">NPV($E$23+$F$23,H198:M198)+$H$4</f>
        <v>1233680.8829790577</v>
      </c>
    </row>
    <row r="199" spans="4:17" x14ac:dyDescent="0.25">
      <c r="D199" s="33"/>
      <c r="E199" s="33">
        <v>169</v>
      </c>
      <c r="F199" s="37"/>
      <c r="G199" s="37"/>
      <c r="H199" s="37">
        <f t="shared" si="2"/>
        <v>868800</v>
      </c>
      <c r="I199" s="37">
        <f ca="1">(RANDBETWEEN($E$14,$F$14)*$I$9)+$I$10+$I$18</f>
        <v>-189819.59895313275</v>
      </c>
      <c r="J199" s="37">
        <f ca="1">(RANDBETWEEN($E$14,$F$14)*$J$9)+$J$10+$J$18</f>
        <v>221933.48456383706</v>
      </c>
      <c r="K199" s="37">
        <f ca="1">(RANDBETWEEN($E$14,$F$14)*$K$9)+$K$10+$K$18</f>
        <v>24363.532183028292</v>
      </c>
      <c r="L199" s="37">
        <f ca="1">(RANDBETWEEN($E$14,$F$14)*$L$9)+$L$10+$L$18</f>
        <v>999716.39339203853</v>
      </c>
      <c r="M199" s="37">
        <f ca="1">(RANDBETWEEN($E$14,$F$14)*$M$9)+$M$10+$M$18</f>
        <v>1424944.0925515993</v>
      </c>
      <c r="N199" s="37">
        <f t="shared" ref="N199" ca="1" si="162">NPV($E$23+$F$23,H199:M199)+$H$4</f>
        <v>1654016.20062854</v>
      </c>
    </row>
    <row r="200" spans="4:17" x14ac:dyDescent="0.25">
      <c r="D200" s="33"/>
      <c r="E200" s="33">
        <v>170</v>
      </c>
      <c r="F200" s="37"/>
      <c r="G200" s="37"/>
      <c r="H200" s="37">
        <f t="shared" si="2"/>
        <v>868800</v>
      </c>
      <c r="I200" s="37">
        <f ca="1">(RANDBETWEEN($E$14,$F$14)*$I$9)+$I$10+$I$18</f>
        <v>-369472.96408399101</v>
      </c>
      <c r="J200" s="37">
        <f ca="1">(RANDBETWEEN($E$14,$F$14)*$J$9)+$J$10+$J$18</f>
        <v>-9238.8910066427197</v>
      </c>
      <c r="K200" s="37">
        <f ca="1">(RANDBETWEEN($E$14,$F$14)*$K$9)+$K$10+$K$18</f>
        <v>260393.25392346107</v>
      </c>
      <c r="L200" s="37">
        <f ca="1">(RANDBETWEEN($E$14,$F$14)*$L$9)+$L$10+$L$18</f>
        <v>671221.40421803342</v>
      </c>
      <c r="M200" s="37">
        <f ca="1">(RANDBETWEEN($E$14,$F$14)*$M$9)+$M$10+$M$18</f>
        <v>1424944.0925515993</v>
      </c>
      <c r="N200" s="37">
        <f t="shared" ref="N200" ca="1" si="163">NPV($E$23+$F$23,H200:M200)+$H$4</f>
        <v>1228167.7294197315</v>
      </c>
    </row>
    <row r="201" spans="4:17" x14ac:dyDescent="0.25">
      <c r="D201" s="33"/>
      <c r="E201" s="33">
        <v>171</v>
      </c>
      <c r="F201" s="37"/>
      <c r="G201" s="37"/>
      <c r="H201" s="37">
        <f t="shared" si="2"/>
        <v>868800</v>
      </c>
      <c r="I201" s="37">
        <f ca="1">(RANDBETWEEN($E$14,$F$14)*$I$9)+$I$10+$I$18</f>
        <v>-369472.96408399101</v>
      </c>
      <c r="J201" s="37">
        <f ca="1">(RANDBETWEEN($E$14,$F$14)*$J$9)+$J$10+$J$18</f>
        <v>221933.48456383706</v>
      </c>
      <c r="K201" s="37">
        <f ca="1">(RANDBETWEEN($E$14,$F$14)*$K$9)+$K$10+$K$18</f>
        <v>24363.532183028292</v>
      </c>
      <c r="L201" s="37">
        <f ca="1">(RANDBETWEEN($E$14,$F$14)*$L$9)+$L$10+$L$18</f>
        <v>671221.40421803342</v>
      </c>
      <c r="M201" s="37">
        <f ca="1">(RANDBETWEEN($E$14,$F$14)*$M$9)+$M$10+$M$18</f>
        <v>1424944.0925515993</v>
      </c>
      <c r="N201" s="37">
        <f t="shared" ref="N201" ca="1" si="164">NPV($E$23+$F$23,H201:M201)+$H$4</f>
        <v>1233680.8829790577</v>
      </c>
    </row>
    <row r="202" spans="4:17" x14ac:dyDescent="0.25">
      <c r="D202" s="33"/>
      <c r="E202" s="33">
        <v>172</v>
      </c>
      <c r="F202" s="37"/>
      <c r="G202" s="37"/>
      <c r="H202" s="37">
        <f t="shared" si="2"/>
        <v>868800</v>
      </c>
      <c r="I202" s="37">
        <f ca="1">(RANDBETWEEN($E$14,$F$14)*$I$9)+$I$10+$I$18</f>
        <v>-189819.59895313275</v>
      </c>
      <c r="J202" s="37">
        <f ca="1">(RANDBETWEEN($E$14,$F$14)*$J$9)+$J$10+$J$18</f>
        <v>-9238.8910066427197</v>
      </c>
      <c r="K202" s="37">
        <f ca="1">(RANDBETWEEN($E$14,$F$14)*$K$9)+$K$10+$K$18</f>
        <v>260393.25392346107</v>
      </c>
      <c r="L202" s="37">
        <f ca="1">(RANDBETWEEN($E$14,$F$14)*$L$9)+$L$10+$L$18</f>
        <v>671221.40421803342</v>
      </c>
      <c r="M202" s="37">
        <f ca="1">(RANDBETWEEN($E$14,$F$14)*$M$9)+$M$10+$M$18</f>
        <v>1424944.0925515993</v>
      </c>
      <c r="N202" s="37">
        <f t="shared" ref="N202" ca="1" si="165">NPV($E$23+$F$23,H202:M202)+$H$4</f>
        <v>1391118.6274976074</v>
      </c>
    </row>
    <row r="203" spans="4:17" x14ac:dyDescent="0.25">
      <c r="D203" s="33"/>
      <c r="E203" s="33">
        <v>173</v>
      </c>
      <c r="F203" s="37"/>
      <c r="G203" s="37"/>
      <c r="H203" s="37">
        <f t="shared" si="2"/>
        <v>868800</v>
      </c>
      <c r="I203" s="37">
        <f ca="1">(RANDBETWEEN($E$14,$F$14)*$I$9)+$I$10+$I$18</f>
        <v>-369472.96408399101</v>
      </c>
      <c r="J203" s="37">
        <f ca="1">(RANDBETWEEN($E$14,$F$14)*$J$9)+$J$10+$J$18</f>
        <v>-9238.8910066427197</v>
      </c>
      <c r="K203" s="37">
        <f ca="1">(RANDBETWEEN($E$14,$F$14)*$K$9)+$K$10+$K$18</f>
        <v>24363.532183028292</v>
      </c>
      <c r="L203" s="37">
        <f ca="1">(RANDBETWEEN($E$14,$F$14)*$L$9)+$L$10+$L$18</f>
        <v>999716.39339203853</v>
      </c>
      <c r="M203" s="37">
        <f ca="1">(RANDBETWEEN($E$14,$F$14)*$M$9)+$M$10+$M$18</f>
        <v>1043245.7659826493</v>
      </c>
      <c r="N203" s="37">
        <f t="shared" ref="N203" ca="1" si="166">NPV($E$23+$F$23,H203:M203)+$H$4</f>
        <v>1006540.7446348586</v>
      </c>
      <c r="Q203" s="37"/>
    </row>
    <row r="204" spans="4:17" x14ac:dyDescent="0.25">
      <c r="D204" s="33"/>
      <c r="E204" s="33">
        <v>174</v>
      </c>
      <c r="F204" s="37"/>
      <c r="G204" s="37"/>
      <c r="H204" s="37">
        <f t="shared" si="2"/>
        <v>868800</v>
      </c>
      <c r="I204" s="37">
        <f ca="1">(RANDBETWEEN($E$14,$F$14)*$I$9)+$I$10+$I$18</f>
        <v>-189819.59895313275</v>
      </c>
      <c r="J204" s="37">
        <f ca="1">(RANDBETWEEN($E$14,$F$14)*$J$9)+$J$10+$J$18</f>
        <v>-9238.8910066427197</v>
      </c>
      <c r="K204" s="37">
        <f ca="1">(RANDBETWEEN($E$14,$F$14)*$K$9)+$K$10+$K$18</f>
        <v>260393.25392346107</v>
      </c>
      <c r="L204" s="37">
        <f ca="1">(RANDBETWEEN($E$14,$F$14)*$L$9)+$L$10+$L$18</f>
        <v>999716.39339203853</v>
      </c>
      <c r="M204" s="37">
        <f ca="1">(RANDBETWEEN($E$14,$F$14)*$M$9)+$M$10+$M$18</f>
        <v>1043245.7659826493</v>
      </c>
      <c r="N204" s="37">
        <f t="shared" ref="N204" ca="1" si="167">NPV($E$23+$F$23,H204:M204)+$H$4</f>
        <v>1363673.8789130282</v>
      </c>
    </row>
    <row r="205" spans="4:17" x14ac:dyDescent="0.25">
      <c r="D205" s="33"/>
      <c r="E205" s="33">
        <v>175</v>
      </c>
      <c r="F205" s="37"/>
      <c r="G205" s="37"/>
      <c r="H205" s="37">
        <f t="shared" si="2"/>
        <v>868800</v>
      </c>
      <c r="I205" s="37">
        <f ca="1">(RANDBETWEEN($E$14,$F$14)*$I$9)+$I$10+$I$18</f>
        <v>-189819.59895313275</v>
      </c>
      <c r="J205" s="37">
        <f ca="1">(RANDBETWEEN($E$14,$F$14)*$J$9)+$J$10+$J$18</f>
        <v>221933.48456383706</v>
      </c>
      <c r="K205" s="37">
        <f ca="1">(RANDBETWEEN($E$14,$F$14)*$K$9)+$K$10+$K$18</f>
        <v>260393.25392346107</v>
      </c>
      <c r="L205" s="37">
        <f ca="1">(RANDBETWEEN($E$14,$F$14)*$L$9)+$L$10+$L$18</f>
        <v>671221.40421803342</v>
      </c>
      <c r="M205" s="37">
        <f ca="1">(RANDBETWEEN($E$14,$F$14)*$M$9)+$M$10+$M$18</f>
        <v>1043245.7659826493</v>
      </c>
      <c r="N205" s="37">
        <f t="shared" ref="N205" ca="1" si="168">NPV($E$23+$F$23,H205:M205)+$H$4</f>
        <v>1305984.8491010414</v>
      </c>
    </row>
    <row r="206" spans="4:17" x14ac:dyDescent="0.25">
      <c r="D206" s="33"/>
      <c r="E206" s="33">
        <v>176</v>
      </c>
      <c r="F206" s="37"/>
      <c r="G206" s="37"/>
      <c r="H206" s="37">
        <f t="shared" si="2"/>
        <v>868800</v>
      </c>
      <c r="I206" s="37">
        <f ca="1">(RANDBETWEEN($E$14,$F$14)*$I$9)+$I$10+$I$18</f>
        <v>-369472.96408399101</v>
      </c>
      <c r="J206" s="37">
        <f ca="1">(RANDBETWEEN($E$14,$F$14)*$J$9)+$J$10+$J$18</f>
        <v>221933.48456383706</v>
      </c>
      <c r="K206" s="37">
        <f ca="1">(RANDBETWEEN($E$14,$F$14)*$K$9)+$K$10+$K$18</f>
        <v>24363.532183028292</v>
      </c>
      <c r="L206" s="37">
        <f ca="1">(RANDBETWEEN($E$14,$F$14)*$L$9)+$L$10+$L$18</f>
        <v>671221.40421803342</v>
      </c>
      <c r="M206" s="37">
        <f ca="1">(RANDBETWEEN($E$14,$F$14)*$M$9)+$M$10+$M$18</f>
        <v>1424944.0925515993</v>
      </c>
      <c r="N206" s="37">
        <f t="shared" ref="N206" ca="1" si="169">NPV($E$23+$F$23,H206:M206)+$H$4</f>
        <v>1233680.8829790577</v>
      </c>
    </row>
    <row r="207" spans="4:17" x14ac:dyDescent="0.25">
      <c r="D207" s="33"/>
      <c r="E207" s="33">
        <v>177</v>
      </c>
      <c r="F207" s="37"/>
      <c r="G207" s="37"/>
      <c r="H207" s="37">
        <f t="shared" si="2"/>
        <v>868800</v>
      </c>
      <c r="I207" s="37">
        <f ca="1">(RANDBETWEEN($E$14,$F$14)*$I$9)+$I$10+$I$18</f>
        <v>-189819.59895313275</v>
      </c>
      <c r="J207" s="37">
        <f ca="1">(RANDBETWEEN($E$14,$F$14)*$J$9)+$J$10+$J$18</f>
        <v>221933.48456383706</v>
      </c>
      <c r="K207" s="37">
        <f ca="1">(RANDBETWEEN($E$14,$F$14)*$K$9)+$K$10+$K$18</f>
        <v>24363.532183028292</v>
      </c>
      <c r="L207" s="37">
        <f ca="1">(RANDBETWEEN($E$14,$F$14)*$L$9)+$L$10+$L$18</f>
        <v>999716.39339203853</v>
      </c>
      <c r="M207" s="37">
        <f ca="1">(RANDBETWEEN($E$14,$F$14)*$M$9)+$M$10+$M$18</f>
        <v>1043245.7659826493</v>
      </c>
      <c r="N207" s="37">
        <f t="shared" ref="N207" ca="1" si="170">NPV($E$23+$F$23,H207:M207)+$H$4</f>
        <v>1369187.0324723539</v>
      </c>
    </row>
    <row r="208" spans="4:17" x14ac:dyDescent="0.25">
      <c r="D208" s="33"/>
      <c r="E208" s="33">
        <v>178</v>
      </c>
      <c r="F208" s="37"/>
      <c r="G208" s="37"/>
      <c r="H208" s="37">
        <f t="shared" si="2"/>
        <v>868800</v>
      </c>
      <c r="I208" s="37">
        <f ca="1">(RANDBETWEEN($E$14,$F$14)*$I$9)+$I$10+$I$18</f>
        <v>-189819.59895313275</v>
      </c>
      <c r="J208" s="37">
        <f ca="1">(RANDBETWEEN($E$14,$F$14)*$J$9)+$J$10+$J$18</f>
        <v>-9238.8910066427197</v>
      </c>
      <c r="K208" s="37">
        <f ca="1">(RANDBETWEEN($E$14,$F$14)*$K$9)+$K$10+$K$18</f>
        <v>260393.25392346107</v>
      </c>
      <c r="L208" s="37">
        <f ca="1">(RANDBETWEEN($E$14,$F$14)*$L$9)+$L$10+$L$18</f>
        <v>999716.39339203853</v>
      </c>
      <c r="M208" s="37">
        <f ca="1">(RANDBETWEEN($E$14,$F$14)*$M$9)+$M$10+$M$18</f>
        <v>1424944.0925515993</v>
      </c>
      <c r="N208" s="37">
        <f t="shared" ref="N208" ca="1" si="171">NPV($E$23+$F$23,H208:M208)+$H$4</f>
        <v>1648503.0470692138</v>
      </c>
    </row>
    <row r="209" spans="4:17" x14ac:dyDescent="0.25">
      <c r="D209" s="33"/>
      <c r="E209" s="33">
        <v>179</v>
      </c>
      <c r="F209" s="37"/>
      <c r="G209" s="37"/>
      <c r="H209" s="37">
        <f t="shared" si="2"/>
        <v>868800</v>
      </c>
      <c r="I209" s="37">
        <f ca="1">(RANDBETWEEN($E$14,$F$14)*$I$9)+$I$10+$I$18</f>
        <v>-189819.59895313275</v>
      </c>
      <c r="J209" s="37">
        <f ca="1">(RANDBETWEEN($E$14,$F$14)*$J$9)+$J$10+$J$18</f>
        <v>-9238.8910066427197</v>
      </c>
      <c r="K209" s="37">
        <f ca="1">(RANDBETWEEN($E$14,$F$14)*$K$9)+$K$10+$K$18</f>
        <v>260393.25392346107</v>
      </c>
      <c r="L209" s="37">
        <f ca="1">(RANDBETWEEN($E$14,$F$14)*$L$9)+$L$10+$L$18</f>
        <v>671221.40421803342</v>
      </c>
      <c r="M209" s="37">
        <f ca="1">(RANDBETWEEN($E$14,$F$14)*$M$9)+$M$10+$M$18</f>
        <v>1043245.7659826493</v>
      </c>
      <c r="N209" s="37">
        <f t="shared" ref="N209" ca="1" si="172">NPV($E$23+$F$23,H209:M209)+$H$4</f>
        <v>1106289.4593414213</v>
      </c>
    </row>
    <row r="210" spans="4:17" x14ac:dyDescent="0.25">
      <c r="D210" s="33"/>
      <c r="E210" s="33">
        <v>180</v>
      </c>
      <c r="F210" s="37"/>
      <c r="G210" s="37"/>
      <c r="H210" s="37">
        <f t="shared" si="2"/>
        <v>868800</v>
      </c>
      <c r="I210" s="37">
        <f ca="1">(RANDBETWEEN($E$14,$F$14)*$I$9)+$I$10+$I$18</f>
        <v>-189819.59895313275</v>
      </c>
      <c r="J210" s="37">
        <f ca="1">(RANDBETWEEN($E$14,$F$14)*$J$9)+$J$10+$J$18</f>
        <v>221933.48456383706</v>
      </c>
      <c r="K210" s="37">
        <f ca="1">(RANDBETWEEN($E$14,$F$14)*$K$9)+$K$10+$K$18</f>
        <v>24363.532183028292</v>
      </c>
      <c r="L210" s="37">
        <f ca="1">(RANDBETWEEN($E$14,$F$14)*$L$9)+$L$10+$L$18</f>
        <v>671221.40421803342</v>
      </c>
      <c r="M210" s="37">
        <f ca="1">(RANDBETWEEN($E$14,$F$14)*$M$9)+$M$10+$M$18</f>
        <v>1043245.7659826493</v>
      </c>
      <c r="N210" s="37">
        <f t="shared" ref="N210" ca="1" si="173">NPV($E$23+$F$23,H210:M210)+$H$4</f>
        <v>1111802.6129007479</v>
      </c>
    </row>
    <row r="211" spans="4:17" x14ac:dyDescent="0.25">
      <c r="D211" s="33"/>
      <c r="E211" s="33">
        <v>181</v>
      </c>
      <c r="F211" s="37"/>
      <c r="G211" s="37"/>
      <c r="H211" s="37">
        <f t="shared" si="2"/>
        <v>868800</v>
      </c>
      <c r="I211" s="37">
        <f ca="1">(RANDBETWEEN($E$14,$F$14)*$I$9)+$I$10+$I$18</f>
        <v>-369472.96408399101</v>
      </c>
      <c r="J211" s="37">
        <f ca="1">(RANDBETWEEN($E$14,$F$14)*$J$9)+$J$10+$J$18</f>
        <v>-9238.8910066427197</v>
      </c>
      <c r="K211" s="37">
        <f ca="1">(RANDBETWEEN($E$14,$F$14)*$K$9)+$K$10+$K$18</f>
        <v>260393.25392346107</v>
      </c>
      <c r="L211" s="37">
        <f ca="1">(RANDBETWEEN($E$14,$F$14)*$L$9)+$L$10+$L$18</f>
        <v>999716.39339203853</v>
      </c>
      <c r="M211" s="37">
        <f ca="1">(RANDBETWEEN($E$14,$F$14)*$M$9)+$M$10+$M$18</f>
        <v>1424944.0925515993</v>
      </c>
      <c r="N211" s="37">
        <f t="shared" ref="N211" ca="1" si="174">NPV($E$23+$F$23,H211:M211)+$H$4</f>
        <v>1485552.1489913375</v>
      </c>
    </row>
    <row r="212" spans="4:17" x14ac:dyDescent="0.25">
      <c r="D212" s="33"/>
      <c r="E212" s="33">
        <v>182</v>
      </c>
      <c r="F212" s="37"/>
      <c r="G212" s="37"/>
      <c r="H212" s="37">
        <f t="shared" si="2"/>
        <v>868800</v>
      </c>
      <c r="I212" s="37">
        <f ca="1">(RANDBETWEEN($E$14,$F$14)*$I$9)+$I$10+$I$18</f>
        <v>-189819.59895313275</v>
      </c>
      <c r="J212" s="37">
        <f ca="1">(RANDBETWEEN($E$14,$F$14)*$J$9)+$J$10+$J$18</f>
        <v>-9238.8910066427197</v>
      </c>
      <c r="K212" s="37">
        <f ca="1">(RANDBETWEEN($E$14,$F$14)*$K$9)+$K$10+$K$18</f>
        <v>260393.25392346107</v>
      </c>
      <c r="L212" s="37">
        <f ca="1">(RANDBETWEEN($E$14,$F$14)*$L$9)+$L$10+$L$18</f>
        <v>671221.40421803342</v>
      </c>
      <c r="M212" s="37">
        <f ca="1">(RANDBETWEEN($E$14,$F$14)*$M$9)+$M$10+$M$18</f>
        <v>1043245.7659826493</v>
      </c>
      <c r="N212" s="37">
        <f t="shared" ref="N212" ca="1" si="175">NPV($E$23+$F$23,H212:M212)+$H$4</f>
        <v>1106289.4593414213</v>
      </c>
    </row>
    <row r="213" spans="4:17" x14ac:dyDescent="0.25">
      <c r="D213" s="33"/>
      <c r="E213" s="33">
        <v>183</v>
      </c>
      <c r="F213" s="37"/>
      <c r="G213" s="37"/>
      <c r="H213" s="37">
        <f t="shared" si="2"/>
        <v>868800</v>
      </c>
      <c r="I213" s="37">
        <f ca="1">(RANDBETWEEN($E$14,$F$14)*$I$9)+$I$10+$I$18</f>
        <v>-189819.59895313275</v>
      </c>
      <c r="J213" s="37">
        <f ca="1">(RANDBETWEEN($E$14,$F$14)*$J$9)+$J$10+$J$18</f>
        <v>-9238.8910066427197</v>
      </c>
      <c r="K213" s="37">
        <f ca="1">(RANDBETWEEN($E$14,$F$14)*$K$9)+$K$10+$K$18</f>
        <v>24363.532183028292</v>
      </c>
      <c r="L213" s="37">
        <f ca="1">(RANDBETWEEN($E$14,$F$14)*$L$9)+$L$10+$L$18</f>
        <v>999716.39339203853</v>
      </c>
      <c r="M213" s="37">
        <f ca="1">(RANDBETWEEN($E$14,$F$14)*$M$9)+$M$10+$M$18</f>
        <v>1043245.7659826493</v>
      </c>
      <c r="N213" s="37">
        <f t="shared" ref="N213" ca="1" si="176">NPV($E$23+$F$23,H213:M213)+$H$4</f>
        <v>1169491.6427127346</v>
      </c>
    </row>
    <row r="214" spans="4:17" x14ac:dyDescent="0.25">
      <c r="D214" s="33"/>
      <c r="E214" s="33">
        <v>184</v>
      </c>
      <c r="F214" s="37"/>
      <c r="G214" s="37"/>
      <c r="H214" s="37">
        <f t="shared" si="2"/>
        <v>868800</v>
      </c>
      <c r="I214" s="37">
        <f ca="1">(RANDBETWEEN($E$14,$F$14)*$I$9)+$I$10+$I$18</f>
        <v>-189819.59895313275</v>
      </c>
      <c r="J214" s="37">
        <f ca="1">(RANDBETWEEN($E$14,$F$14)*$J$9)+$J$10+$J$18</f>
        <v>-9238.8910066427197</v>
      </c>
      <c r="K214" s="37">
        <f ca="1">(RANDBETWEEN($E$14,$F$14)*$K$9)+$K$10+$K$18</f>
        <v>24363.532183028292</v>
      </c>
      <c r="L214" s="37">
        <f ca="1">(RANDBETWEEN($E$14,$F$14)*$L$9)+$L$10+$L$18</f>
        <v>999716.39339203853</v>
      </c>
      <c r="M214" s="37">
        <f ca="1">(RANDBETWEEN($E$14,$F$14)*$M$9)+$M$10+$M$18</f>
        <v>1424944.0925515993</v>
      </c>
      <c r="N214" s="37">
        <f t="shared" ref="N214" ca="1" si="177">NPV($E$23+$F$23,H214:M214)+$H$4</f>
        <v>1454320.8108689203</v>
      </c>
    </row>
    <row r="215" spans="4:17" x14ac:dyDescent="0.25">
      <c r="D215" s="33"/>
      <c r="E215" s="33">
        <v>185</v>
      </c>
      <c r="F215" s="37"/>
      <c r="G215" s="37"/>
      <c r="H215" s="37">
        <f t="shared" si="2"/>
        <v>868800</v>
      </c>
      <c r="I215" s="37">
        <f ca="1">(RANDBETWEEN($E$14,$F$14)*$I$9)+$I$10+$I$18</f>
        <v>-189819.59895313275</v>
      </c>
      <c r="J215" s="37">
        <f ca="1">(RANDBETWEEN($E$14,$F$14)*$J$9)+$J$10+$J$18</f>
        <v>221933.48456383706</v>
      </c>
      <c r="K215" s="37">
        <f ca="1">(RANDBETWEEN($E$14,$F$14)*$K$9)+$K$10+$K$18</f>
        <v>24363.532183028292</v>
      </c>
      <c r="L215" s="37">
        <f ca="1">(RANDBETWEEN($E$14,$F$14)*$L$9)+$L$10+$L$18</f>
        <v>671221.40421803342</v>
      </c>
      <c r="M215" s="37">
        <f ca="1">(RANDBETWEEN($E$14,$F$14)*$M$9)+$M$10+$M$18</f>
        <v>1043245.7659826493</v>
      </c>
      <c r="N215" s="37">
        <f t="shared" ref="N215" ca="1" si="178">NPV($E$23+$F$23,H215:M215)+$H$4</f>
        <v>1111802.6129007479</v>
      </c>
    </row>
    <row r="216" spans="4:17" x14ac:dyDescent="0.25">
      <c r="D216" s="33"/>
      <c r="E216" s="33">
        <v>186</v>
      </c>
      <c r="F216" s="37"/>
      <c r="G216" s="37"/>
      <c r="H216" s="37">
        <f t="shared" si="2"/>
        <v>868800</v>
      </c>
      <c r="I216" s="37">
        <f ca="1">(RANDBETWEEN($E$14,$F$14)*$I$9)+$I$10+$I$18</f>
        <v>-189819.59895313275</v>
      </c>
      <c r="J216" s="37">
        <f ca="1">(RANDBETWEEN($E$14,$F$14)*$J$9)+$J$10+$J$18</f>
        <v>-9238.8910066427197</v>
      </c>
      <c r="K216" s="37">
        <f ca="1">(RANDBETWEEN($E$14,$F$14)*$K$9)+$K$10+$K$18</f>
        <v>24363.532183028292</v>
      </c>
      <c r="L216" s="37">
        <f ca="1">(RANDBETWEEN($E$14,$F$14)*$L$9)+$L$10+$L$18</f>
        <v>999716.39339203853</v>
      </c>
      <c r="M216" s="37">
        <f ca="1">(RANDBETWEEN($E$14,$F$14)*$M$9)+$M$10+$M$18</f>
        <v>1424944.0925515993</v>
      </c>
      <c r="N216" s="37">
        <f t="shared" ref="N216" ca="1" si="179">NPV($E$23+$F$23,H216:M216)+$H$4</f>
        <v>1454320.8108689203</v>
      </c>
    </row>
    <row r="217" spans="4:17" x14ac:dyDescent="0.25">
      <c r="D217" s="33"/>
      <c r="E217" s="33">
        <v>187</v>
      </c>
      <c r="F217" s="37"/>
      <c r="G217" s="37"/>
      <c r="H217" s="37">
        <f t="shared" si="2"/>
        <v>868800</v>
      </c>
      <c r="I217" s="37">
        <f ca="1">(RANDBETWEEN($E$14,$F$14)*$I$9)+$I$10+$I$18</f>
        <v>-369472.96408399101</v>
      </c>
      <c r="J217" s="37">
        <f ca="1">(RANDBETWEEN($E$14,$F$14)*$J$9)+$J$10+$J$18</f>
        <v>-9238.8910066427197</v>
      </c>
      <c r="K217" s="37">
        <f ca="1">(RANDBETWEEN($E$14,$F$14)*$K$9)+$K$10+$K$18</f>
        <v>260393.25392346107</v>
      </c>
      <c r="L217" s="37">
        <f ca="1">(RANDBETWEEN($E$14,$F$14)*$L$9)+$L$10+$L$18</f>
        <v>671221.40421803342</v>
      </c>
      <c r="M217" s="37">
        <f ca="1">(RANDBETWEEN($E$14,$F$14)*$M$9)+$M$10+$M$18</f>
        <v>1424944.0925515993</v>
      </c>
      <c r="N217" s="37">
        <f t="shared" ref="N217" ca="1" si="180">NPV($E$23+$F$23,H217:M217)+$H$4</f>
        <v>1228167.7294197315</v>
      </c>
    </row>
    <row r="218" spans="4:17" x14ac:dyDescent="0.25">
      <c r="D218" s="33"/>
      <c r="E218" s="33">
        <v>188</v>
      </c>
      <c r="F218" s="37"/>
      <c r="G218" s="37"/>
      <c r="H218" s="37">
        <f t="shared" si="2"/>
        <v>868800</v>
      </c>
      <c r="I218" s="37">
        <f ca="1">(RANDBETWEEN($E$14,$F$14)*$I$9)+$I$10+$I$18</f>
        <v>-189819.59895313275</v>
      </c>
      <c r="J218" s="37">
        <f ca="1">(RANDBETWEEN($E$14,$F$14)*$J$9)+$J$10+$J$18</f>
        <v>-9238.8910066427197</v>
      </c>
      <c r="K218" s="37">
        <f ca="1">(RANDBETWEEN($E$14,$F$14)*$K$9)+$K$10+$K$18</f>
        <v>260393.25392346107</v>
      </c>
      <c r="L218" s="37">
        <f ca="1">(RANDBETWEEN($E$14,$F$14)*$L$9)+$L$10+$L$18</f>
        <v>999716.39339203853</v>
      </c>
      <c r="M218" s="37">
        <f ca="1">(RANDBETWEEN($E$14,$F$14)*$M$9)+$M$10+$M$18</f>
        <v>1424944.0925515993</v>
      </c>
      <c r="N218" s="37">
        <f t="shared" ref="N218" ca="1" si="181">NPV($E$23+$F$23,H218:M218)+$H$4</f>
        <v>1648503.0470692138</v>
      </c>
    </row>
    <row r="219" spans="4:17" x14ac:dyDescent="0.25">
      <c r="D219" s="33"/>
      <c r="E219" s="33">
        <v>189</v>
      </c>
      <c r="F219" s="37"/>
      <c r="G219" s="37"/>
      <c r="H219" s="37">
        <f t="shared" si="2"/>
        <v>868800</v>
      </c>
      <c r="I219" s="37">
        <f ca="1">(RANDBETWEEN($E$14,$F$14)*$I$9)+$I$10+$I$18</f>
        <v>-189819.59895313275</v>
      </c>
      <c r="J219" s="37">
        <f ca="1">(RANDBETWEEN($E$14,$F$14)*$J$9)+$J$10+$J$18</f>
        <v>-9238.8910066427197</v>
      </c>
      <c r="K219" s="37">
        <f ca="1">(RANDBETWEEN($E$14,$F$14)*$K$9)+$K$10+$K$18</f>
        <v>24363.532183028292</v>
      </c>
      <c r="L219" s="37">
        <f ca="1">(RANDBETWEEN($E$14,$F$14)*$L$9)+$L$10+$L$18</f>
        <v>671221.40421803342</v>
      </c>
      <c r="M219" s="37">
        <f ca="1">(RANDBETWEEN($E$14,$F$14)*$M$9)+$M$10+$M$18</f>
        <v>1424944.0925515993</v>
      </c>
      <c r="N219" s="37">
        <f t="shared" ref="N219" ca="1" si="182">NPV($E$23+$F$23,H219:M219)+$H$4</f>
        <v>1196936.3912973143</v>
      </c>
    </row>
    <row r="220" spans="4:17" x14ac:dyDescent="0.25">
      <c r="D220" s="33"/>
      <c r="E220" s="33">
        <v>190</v>
      </c>
      <c r="F220" s="37"/>
      <c r="G220" s="37"/>
      <c r="H220" s="37">
        <f t="shared" si="2"/>
        <v>868800</v>
      </c>
      <c r="I220" s="37">
        <f ca="1">(RANDBETWEEN($E$14,$F$14)*$I$9)+$I$10+$I$18</f>
        <v>-369472.96408399101</v>
      </c>
      <c r="J220" s="37">
        <f ca="1">(RANDBETWEEN($E$14,$F$14)*$J$9)+$J$10+$J$18</f>
        <v>-9238.8910066427197</v>
      </c>
      <c r="K220" s="37">
        <f ca="1">(RANDBETWEEN($E$14,$F$14)*$K$9)+$K$10+$K$18</f>
        <v>24363.532183028292</v>
      </c>
      <c r="L220" s="37">
        <f ca="1">(RANDBETWEEN($E$14,$F$14)*$L$9)+$L$10+$L$18</f>
        <v>671221.40421803342</v>
      </c>
      <c r="M220" s="37">
        <f ca="1">(RANDBETWEEN($E$14,$F$14)*$M$9)+$M$10+$M$18</f>
        <v>1424944.0925515993</v>
      </c>
      <c r="N220" s="37">
        <f t="shared" ref="N220" ca="1" si="183">NPV($E$23+$F$23,H220:M220)+$H$4</f>
        <v>1033985.4932194382</v>
      </c>
    </row>
    <row r="221" spans="4:17" x14ac:dyDescent="0.25">
      <c r="D221" s="33"/>
      <c r="E221" s="33">
        <v>191</v>
      </c>
      <c r="F221" s="37"/>
      <c r="G221" s="37"/>
      <c r="H221" s="37">
        <f t="shared" si="2"/>
        <v>868800</v>
      </c>
      <c r="I221" s="37">
        <f ca="1">(RANDBETWEEN($E$14,$F$14)*$I$9)+$I$10+$I$18</f>
        <v>-369472.96408399101</v>
      </c>
      <c r="J221" s="37">
        <f ca="1">(RANDBETWEEN($E$14,$F$14)*$J$9)+$J$10+$J$18</f>
        <v>221933.48456383706</v>
      </c>
      <c r="K221" s="37">
        <f ca="1">(RANDBETWEEN($E$14,$F$14)*$K$9)+$K$10+$K$18</f>
        <v>260393.25392346107</v>
      </c>
      <c r="L221" s="37">
        <f ca="1">(RANDBETWEEN($E$14,$F$14)*$L$9)+$L$10+$L$18</f>
        <v>999716.39339203853</v>
      </c>
      <c r="M221" s="37">
        <f ca="1">(RANDBETWEEN($E$14,$F$14)*$M$9)+$M$10+$M$18</f>
        <v>1043245.7659826493</v>
      </c>
      <c r="N221" s="37">
        <f t="shared" ref="N221" ca="1" si="184">NPV($E$23+$F$23,H221:M221)+$H$4</f>
        <v>1400418.3705947716</v>
      </c>
      <c r="Q221" s="37"/>
    </row>
    <row r="222" spans="4:17" x14ac:dyDescent="0.25">
      <c r="D222" s="33"/>
      <c r="E222" s="33">
        <v>192</v>
      </c>
      <c r="F222" s="37"/>
      <c r="G222" s="37"/>
      <c r="H222" s="37">
        <f t="shared" si="2"/>
        <v>868800</v>
      </c>
      <c r="I222" s="37">
        <f ca="1">(RANDBETWEEN($E$14,$F$14)*$I$9)+$I$10+$I$18</f>
        <v>-189819.59895313275</v>
      </c>
      <c r="J222" s="37">
        <f ca="1">(RANDBETWEEN($E$14,$F$14)*$J$9)+$J$10+$J$18</f>
        <v>221933.48456383706</v>
      </c>
      <c r="K222" s="37">
        <f ca="1">(RANDBETWEEN($E$14,$F$14)*$K$9)+$K$10+$K$18</f>
        <v>260393.25392346107</v>
      </c>
      <c r="L222" s="37">
        <f ca="1">(RANDBETWEEN($E$14,$F$14)*$L$9)+$L$10+$L$18</f>
        <v>671221.40421803342</v>
      </c>
      <c r="M222" s="37">
        <f ca="1">(RANDBETWEEN($E$14,$F$14)*$M$9)+$M$10+$M$18</f>
        <v>1424944.0925515993</v>
      </c>
      <c r="N222" s="37">
        <f t="shared" ref="N222" ca="1" si="185">NPV($E$23+$F$23,H222:M222)+$H$4</f>
        <v>1590814.0172572271</v>
      </c>
    </row>
    <row r="223" spans="4:17" x14ac:dyDescent="0.25">
      <c r="D223" s="33"/>
      <c r="E223" s="33">
        <v>193</v>
      </c>
      <c r="F223" s="37"/>
      <c r="G223" s="37"/>
      <c r="H223" s="37">
        <f t="shared" si="2"/>
        <v>868800</v>
      </c>
      <c r="I223" s="37">
        <f ca="1">(RANDBETWEEN($E$14,$F$14)*$I$9)+$I$10+$I$18</f>
        <v>-189819.59895313275</v>
      </c>
      <c r="J223" s="37">
        <f ca="1">(RANDBETWEEN($E$14,$F$14)*$J$9)+$J$10+$J$18</f>
        <v>-9238.8910066427197</v>
      </c>
      <c r="K223" s="37">
        <f ca="1">(RANDBETWEEN($E$14,$F$14)*$K$9)+$K$10+$K$18</f>
        <v>260393.25392346107</v>
      </c>
      <c r="L223" s="37">
        <f ca="1">(RANDBETWEEN($E$14,$F$14)*$L$9)+$L$10+$L$18</f>
        <v>671221.40421803342</v>
      </c>
      <c r="M223" s="37">
        <f ca="1">(RANDBETWEEN($E$14,$F$14)*$M$9)+$M$10+$M$18</f>
        <v>1424944.0925515993</v>
      </c>
      <c r="N223" s="37">
        <f t="shared" ref="N223" ca="1" si="186">NPV($E$23+$F$23,H223:M223)+$H$4</f>
        <v>1391118.6274976074</v>
      </c>
    </row>
    <row r="224" spans="4:17" x14ac:dyDescent="0.25">
      <c r="D224" s="33"/>
      <c r="E224" s="33">
        <v>194</v>
      </c>
      <c r="F224" s="37"/>
      <c r="G224" s="37"/>
      <c r="H224" s="37">
        <f t="shared" si="2"/>
        <v>868800</v>
      </c>
      <c r="I224" s="37">
        <f ca="1">(RANDBETWEEN($E$14,$F$14)*$I$9)+$I$10+$I$18</f>
        <v>-369472.96408399101</v>
      </c>
      <c r="J224" s="37">
        <f ca="1">(RANDBETWEEN($E$14,$F$14)*$J$9)+$J$10+$J$18</f>
        <v>221933.48456383706</v>
      </c>
      <c r="K224" s="37">
        <f ca="1">(RANDBETWEEN($E$14,$F$14)*$K$9)+$K$10+$K$18</f>
        <v>24363.532183028292</v>
      </c>
      <c r="L224" s="37">
        <f ca="1">(RANDBETWEEN($E$14,$F$14)*$L$9)+$L$10+$L$18</f>
        <v>671221.40421803342</v>
      </c>
      <c r="M224" s="37">
        <f ca="1">(RANDBETWEEN($E$14,$F$14)*$M$9)+$M$10+$M$18</f>
        <v>1424944.0925515993</v>
      </c>
      <c r="N224" s="37">
        <f t="shared" ref="N224" ca="1" si="187">NPV($E$23+$F$23,H224:M224)+$H$4</f>
        <v>1233680.8829790577</v>
      </c>
    </row>
    <row r="225" spans="4:17" x14ac:dyDescent="0.25">
      <c r="D225" s="33"/>
      <c r="E225" s="33">
        <v>195</v>
      </c>
      <c r="F225" s="37"/>
      <c r="G225" s="37"/>
      <c r="H225" s="37">
        <f t="shared" si="2"/>
        <v>868800</v>
      </c>
      <c r="I225" s="37">
        <f ca="1">(RANDBETWEEN($E$14,$F$14)*$I$9)+$I$10+$I$18</f>
        <v>-369472.96408399101</v>
      </c>
      <c r="J225" s="37">
        <f ca="1">(RANDBETWEEN($E$14,$F$14)*$J$9)+$J$10+$J$18</f>
        <v>-9238.8910066427197</v>
      </c>
      <c r="K225" s="37">
        <f ca="1">(RANDBETWEEN($E$14,$F$14)*$K$9)+$K$10+$K$18</f>
        <v>24363.532183028292</v>
      </c>
      <c r="L225" s="37">
        <f ca="1">(RANDBETWEEN($E$14,$F$14)*$L$9)+$L$10+$L$18</f>
        <v>671221.40421803342</v>
      </c>
      <c r="M225" s="37">
        <f ca="1">(RANDBETWEEN($E$14,$F$14)*$M$9)+$M$10+$M$18</f>
        <v>1424944.0925515993</v>
      </c>
      <c r="N225" s="37">
        <f t="shared" ref="N225" ca="1" si="188">NPV($E$23+$F$23,H225:M225)+$H$4</f>
        <v>1033985.4932194382</v>
      </c>
    </row>
    <row r="226" spans="4:17" x14ac:dyDescent="0.25">
      <c r="D226" s="33"/>
      <c r="E226" s="33">
        <v>196</v>
      </c>
      <c r="F226" s="37"/>
      <c r="G226" s="37"/>
      <c r="H226" s="37">
        <f t="shared" si="2"/>
        <v>868800</v>
      </c>
      <c r="I226" s="37">
        <f ca="1">(RANDBETWEEN($E$14,$F$14)*$I$9)+$I$10+$I$18</f>
        <v>-189819.59895313275</v>
      </c>
      <c r="J226" s="37">
        <f ca="1">(RANDBETWEEN($E$14,$F$14)*$J$9)+$J$10+$J$18</f>
        <v>221933.48456383706</v>
      </c>
      <c r="K226" s="37">
        <f ca="1">(RANDBETWEEN($E$14,$F$14)*$K$9)+$K$10+$K$18</f>
        <v>260393.25392346107</v>
      </c>
      <c r="L226" s="37">
        <f ca="1">(RANDBETWEEN($E$14,$F$14)*$L$9)+$L$10+$L$18</f>
        <v>999716.39339203853</v>
      </c>
      <c r="M226" s="37">
        <f ca="1">(RANDBETWEEN($E$14,$F$14)*$M$9)+$M$10+$M$18</f>
        <v>1424944.0925515993</v>
      </c>
      <c r="N226" s="37">
        <f t="shared" ref="N226" ca="1" si="189">NPV($E$23+$F$23,H226:M226)+$H$4</f>
        <v>1848198.4368288331</v>
      </c>
    </row>
    <row r="227" spans="4:17" x14ac:dyDescent="0.25">
      <c r="D227" s="33"/>
      <c r="E227" s="33">
        <v>197</v>
      </c>
      <c r="F227" s="37"/>
      <c r="G227" s="37"/>
      <c r="H227" s="37">
        <f t="shared" si="2"/>
        <v>868800</v>
      </c>
      <c r="I227" s="37">
        <f ca="1">(RANDBETWEEN($E$14,$F$14)*$I$9)+$I$10+$I$18</f>
        <v>-369472.96408399101</v>
      </c>
      <c r="J227" s="37">
        <f ca="1">(RANDBETWEEN($E$14,$F$14)*$J$9)+$J$10+$J$18</f>
        <v>221933.48456383706</v>
      </c>
      <c r="K227" s="37">
        <f ca="1">(RANDBETWEEN($E$14,$F$14)*$K$9)+$K$10+$K$18</f>
        <v>24363.532183028292</v>
      </c>
      <c r="L227" s="37">
        <f ca="1">(RANDBETWEEN($E$14,$F$14)*$L$9)+$L$10+$L$18</f>
        <v>671221.40421803342</v>
      </c>
      <c r="M227" s="37">
        <f ca="1">(RANDBETWEEN($E$14,$F$14)*$M$9)+$M$10+$M$18</f>
        <v>1424944.0925515993</v>
      </c>
      <c r="N227" s="37">
        <f t="shared" ref="N227" ca="1" si="190">NPV($E$23+$F$23,H227:M227)+$H$4</f>
        <v>1233680.8829790577</v>
      </c>
    </row>
    <row r="228" spans="4:17" x14ac:dyDescent="0.25">
      <c r="D228" s="33"/>
      <c r="E228" s="33">
        <v>198</v>
      </c>
      <c r="F228" s="37"/>
      <c r="G228" s="37"/>
      <c r="H228" s="37">
        <f t="shared" si="2"/>
        <v>868800</v>
      </c>
      <c r="I228" s="37">
        <f ca="1">(RANDBETWEEN($E$14,$F$14)*$I$9)+$I$10+$I$18</f>
        <v>-189819.59895313275</v>
      </c>
      <c r="J228" s="37">
        <f ca="1">(RANDBETWEEN($E$14,$F$14)*$J$9)+$J$10+$J$18</f>
        <v>221933.48456383706</v>
      </c>
      <c r="K228" s="37">
        <f ca="1">(RANDBETWEEN($E$14,$F$14)*$K$9)+$K$10+$K$18</f>
        <v>260393.25392346107</v>
      </c>
      <c r="L228" s="37">
        <f ca="1">(RANDBETWEEN($E$14,$F$14)*$L$9)+$L$10+$L$18</f>
        <v>671221.40421803342</v>
      </c>
      <c r="M228" s="37">
        <f ca="1">(RANDBETWEEN($E$14,$F$14)*$M$9)+$M$10+$M$18</f>
        <v>1424944.0925515993</v>
      </c>
      <c r="N228" s="37">
        <f t="shared" ref="N228" ca="1" si="191">NPV($E$23+$F$23,H228:M228)+$H$4</f>
        <v>1590814.0172572271</v>
      </c>
    </row>
    <row r="229" spans="4:17" x14ac:dyDescent="0.25">
      <c r="D229" s="33"/>
      <c r="E229" s="33">
        <v>199</v>
      </c>
      <c r="F229" s="37"/>
      <c r="G229" s="37"/>
      <c r="H229" s="37">
        <f t="shared" si="2"/>
        <v>868800</v>
      </c>
      <c r="I229" s="37">
        <f ca="1">(RANDBETWEEN($E$14,$F$14)*$I$9)+$I$10+$I$18</f>
        <v>-189819.59895313275</v>
      </c>
      <c r="J229" s="37">
        <f ca="1">(RANDBETWEEN($E$14,$F$14)*$J$9)+$J$10+$J$18</f>
        <v>-9238.8910066427197</v>
      </c>
      <c r="K229" s="37">
        <f ca="1">(RANDBETWEEN($E$14,$F$14)*$K$9)+$K$10+$K$18</f>
        <v>24363.532183028292</v>
      </c>
      <c r="L229" s="37">
        <f ca="1">(RANDBETWEEN($E$14,$F$14)*$L$9)+$L$10+$L$18</f>
        <v>671221.40421803342</v>
      </c>
      <c r="M229" s="37">
        <f ca="1">(RANDBETWEEN($E$14,$F$14)*$M$9)+$M$10+$M$18</f>
        <v>1424944.0925515993</v>
      </c>
      <c r="N229" s="37">
        <f t="shared" ref="N229" ca="1" si="192">NPV($E$23+$F$23,H229:M229)+$H$4</f>
        <v>1196936.3912973143</v>
      </c>
    </row>
    <row r="230" spans="4:17" x14ac:dyDescent="0.25">
      <c r="D230" s="33"/>
      <c r="E230" s="33">
        <v>200</v>
      </c>
      <c r="F230" s="37"/>
      <c r="G230" s="37"/>
      <c r="H230" s="37">
        <f t="shared" si="2"/>
        <v>868800</v>
      </c>
      <c r="I230" s="37">
        <f ca="1">(RANDBETWEEN($E$14,$F$14)*$I$9)+$I$10+$I$18</f>
        <v>-369472.96408399101</v>
      </c>
      <c r="J230" s="37">
        <f ca="1">(RANDBETWEEN($E$14,$F$14)*$J$9)+$J$10+$J$18</f>
        <v>-9238.8910066427197</v>
      </c>
      <c r="K230" s="37">
        <f ca="1">(RANDBETWEEN($E$14,$F$14)*$K$9)+$K$10+$K$18</f>
        <v>260393.25392346107</v>
      </c>
      <c r="L230" s="37">
        <f ca="1">(RANDBETWEEN($E$14,$F$14)*$L$9)+$L$10+$L$18</f>
        <v>999716.39339203853</v>
      </c>
      <c r="M230" s="37">
        <f ca="1">(RANDBETWEEN($E$14,$F$14)*$M$9)+$M$10+$M$18</f>
        <v>1043245.7659826493</v>
      </c>
      <c r="N230" s="37">
        <f t="shared" ref="N230" ca="1" si="193">NPV($E$23+$F$23,H230:M230)+$H$4</f>
        <v>1200722.9808351514</v>
      </c>
    </row>
    <row r="231" spans="4:17" x14ac:dyDescent="0.25">
      <c r="D231" s="33"/>
      <c r="E231" s="33">
        <v>201</v>
      </c>
      <c r="F231" s="37"/>
      <c r="G231" s="37"/>
      <c r="H231" s="37">
        <f t="shared" si="2"/>
        <v>868800</v>
      </c>
      <c r="I231" s="37">
        <f ca="1">(RANDBETWEEN($E$14,$F$14)*$I$9)+$I$10+$I$18</f>
        <v>-189819.59895313275</v>
      </c>
      <c r="J231" s="37">
        <f ca="1">(RANDBETWEEN($E$14,$F$14)*$J$9)+$J$10+$J$18</f>
        <v>-9238.8910066427197</v>
      </c>
      <c r="K231" s="37">
        <f ca="1">(RANDBETWEEN($E$14,$F$14)*$K$9)+$K$10+$K$18</f>
        <v>24363.532183028292</v>
      </c>
      <c r="L231" s="37">
        <f ca="1">(RANDBETWEEN($E$14,$F$14)*$L$9)+$L$10+$L$18</f>
        <v>999716.39339203853</v>
      </c>
      <c r="M231" s="37">
        <f ca="1">(RANDBETWEEN($E$14,$F$14)*$M$9)+$M$10+$M$18</f>
        <v>1424944.0925515993</v>
      </c>
      <c r="N231" s="37">
        <f t="shared" ref="N231" ca="1" si="194">NPV($E$23+$F$23,H231:M231)+$H$4</f>
        <v>1454320.8108689203</v>
      </c>
      <c r="Q231" s="37"/>
    </row>
    <row r="232" spans="4:17" x14ac:dyDescent="0.25">
      <c r="D232" s="33"/>
      <c r="E232" s="33">
        <v>202</v>
      </c>
      <c r="F232" s="37"/>
      <c r="G232" s="37"/>
      <c r="H232" s="37">
        <f t="shared" si="2"/>
        <v>868800</v>
      </c>
      <c r="I232" s="37">
        <f ca="1">(RANDBETWEEN($E$14,$F$14)*$I$9)+$I$10+$I$18</f>
        <v>-369472.96408399101</v>
      </c>
      <c r="J232" s="37">
        <f ca="1">(RANDBETWEEN($E$14,$F$14)*$J$9)+$J$10+$J$18</f>
        <v>-9238.8910066427197</v>
      </c>
      <c r="K232" s="37">
        <f ca="1">(RANDBETWEEN($E$14,$F$14)*$K$9)+$K$10+$K$18</f>
        <v>260393.25392346107</v>
      </c>
      <c r="L232" s="37">
        <f ca="1">(RANDBETWEEN($E$14,$F$14)*$L$9)+$L$10+$L$18</f>
        <v>999716.39339203853</v>
      </c>
      <c r="M232" s="37">
        <f ca="1">(RANDBETWEEN($E$14,$F$14)*$M$9)+$M$10+$M$18</f>
        <v>1043245.7659826493</v>
      </c>
      <c r="N232" s="37">
        <f t="shared" ref="N232" ca="1" si="195">NPV($E$23+$F$23,H232:M232)+$H$4</f>
        <v>1200722.9808351514</v>
      </c>
    </row>
    <row r="233" spans="4:17" x14ac:dyDescent="0.25">
      <c r="D233" s="33"/>
      <c r="E233" s="33">
        <v>203</v>
      </c>
      <c r="F233" s="37"/>
      <c r="G233" s="37"/>
      <c r="H233" s="37">
        <f t="shared" si="2"/>
        <v>868800</v>
      </c>
      <c r="I233" s="37">
        <f ca="1">(RANDBETWEEN($E$14,$F$14)*$I$9)+$I$10+$I$18</f>
        <v>-189819.59895313275</v>
      </c>
      <c r="J233" s="37">
        <f ca="1">(RANDBETWEEN($E$14,$F$14)*$J$9)+$J$10+$J$18</f>
        <v>221933.48456383706</v>
      </c>
      <c r="K233" s="37">
        <f ca="1">(RANDBETWEEN($E$14,$F$14)*$K$9)+$K$10+$K$18</f>
        <v>24363.532183028292</v>
      </c>
      <c r="L233" s="37">
        <f ca="1">(RANDBETWEEN($E$14,$F$14)*$L$9)+$L$10+$L$18</f>
        <v>671221.40421803342</v>
      </c>
      <c r="M233" s="37">
        <f ca="1">(RANDBETWEEN($E$14,$F$14)*$M$9)+$M$10+$M$18</f>
        <v>1424944.0925515993</v>
      </c>
      <c r="N233" s="37">
        <f t="shared" ref="N233" ca="1" si="196">NPV($E$23+$F$23,H233:M233)+$H$4</f>
        <v>1396631.7810569336</v>
      </c>
    </row>
    <row r="234" spans="4:17" x14ac:dyDescent="0.25">
      <c r="D234" s="33"/>
      <c r="E234" s="33">
        <v>204</v>
      </c>
      <c r="F234" s="37"/>
      <c r="G234" s="37"/>
      <c r="H234" s="37">
        <f t="shared" si="2"/>
        <v>868800</v>
      </c>
      <c r="I234" s="37">
        <f ca="1">(RANDBETWEEN($E$14,$F$14)*$I$9)+$I$10+$I$18</f>
        <v>-189819.59895313275</v>
      </c>
      <c r="J234" s="37">
        <f ca="1">(RANDBETWEEN($E$14,$F$14)*$J$9)+$J$10+$J$18</f>
        <v>-9238.8910066427197</v>
      </c>
      <c r="K234" s="37">
        <f ca="1">(RANDBETWEEN($E$14,$F$14)*$K$9)+$K$10+$K$18</f>
        <v>24363.532183028292</v>
      </c>
      <c r="L234" s="37">
        <f ca="1">(RANDBETWEEN($E$14,$F$14)*$L$9)+$L$10+$L$18</f>
        <v>671221.40421803342</v>
      </c>
      <c r="M234" s="37">
        <f ca="1">(RANDBETWEEN($E$14,$F$14)*$M$9)+$M$10+$M$18</f>
        <v>1043245.7659826493</v>
      </c>
      <c r="N234" s="37">
        <f t="shared" ref="N234" ca="1" si="197">NPV($E$23+$F$23,H234:M234)+$H$4</f>
        <v>912107.22314112843</v>
      </c>
    </row>
    <row r="235" spans="4:17" x14ac:dyDescent="0.25">
      <c r="D235" s="33"/>
      <c r="E235" s="33">
        <v>205</v>
      </c>
      <c r="F235" s="37"/>
      <c r="G235" s="37"/>
      <c r="H235" s="37">
        <f t="shared" si="2"/>
        <v>868800</v>
      </c>
      <c r="I235" s="37">
        <f ca="1">(RANDBETWEEN($E$14,$F$14)*$I$9)+$I$10+$I$18</f>
        <v>-189819.59895313275</v>
      </c>
      <c r="J235" s="37">
        <f ca="1">(RANDBETWEEN($E$14,$F$14)*$J$9)+$J$10+$J$18</f>
        <v>-9238.8910066427197</v>
      </c>
      <c r="K235" s="37">
        <f ca="1">(RANDBETWEEN($E$14,$F$14)*$K$9)+$K$10+$K$18</f>
        <v>24363.532183028292</v>
      </c>
      <c r="L235" s="37">
        <f ca="1">(RANDBETWEEN($E$14,$F$14)*$L$9)+$L$10+$L$18</f>
        <v>671221.40421803342</v>
      </c>
      <c r="M235" s="37">
        <f ca="1">(RANDBETWEEN($E$14,$F$14)*$M$9)+$M$10+$M$18</f>
        <v>1424944.0925515993</v>
      </c>
      <c r="N235" s="37">
        <f t="shared" ref="N235" ca="1" si="198">NPV($E$23+$F$23,H235:M235)+$H$4</f>
        <v>1196936.3912973143</v>
      </c>
    </row>
    <row r="236" spans="4:17" x14ac:dyDescent="0.25">
      <c r="D236" s="33"/>
      <c r="E236" s="33">
        <v>206</v>
      </c>
      <c r="F236" s="37"/>
      <c r="G236" s="37"/>
      <c r="H236" s="37">
        <f t="shared" si="2"/>
        <v>868800</v>
      </c>
      <c r="I236" s="37">
        <f ca="1">(RANDBETWEEN($E$14,$F$14)*$I$9)+$I$10+$I$18</f>
        <v>-369472.96408399101</v>
      </c>
      <c r="J236" s="37">
        <f ca="1">(RANDBETWEEN($E$14,$F$14)*$J$9)+$J$10+$J$18</f>
        <v>-9238.8910066427197</v>
      </c>
      <c r="K236" s="37">
        <f ca="1">(RANDBETWEEN($E$14,$F$14)*$K$9)+$K$10+$K$18</f>
        <v>24363.532183028292</v>
      </c>
      <c r="L236" s="37">
        <f ca="1">(RANDBETWEEN($E$14,$F$14)*$L$9)+$L$10+$L$18</f>
        <v>671221.40421803342</v>
      </c>
      <c r="M236" s="37">
        <f ca="1">(RANDBETWEEN($E$14,$F$14)*$M$9)+$M$10+$M$18</f>
        <v>1424944.0925515993</v>
      </c>
      <c r="N236" s="37">
        <f t="shared" ref="N236" ca="1" si="199">NPV($E$23+$F$23,H236:M236)+$H$4</f>
        <v>1033985.4932194382</v>
      </c>
    </row>
    <row r="237" spans="4:17" x14ac:dyDescent="0.25">
      <c r="D237" s="33"/>
      <c r="E237" s="33">
        <v>207</v>
      </c>
      <c r="F237" s="37"/>
      <c r="G237" s="37"/>
      <c r="H237" s="37">
        <f t="shared" si="2"/>
        <v>868800</v>
      </c>
      <c r="I237" s="37">
        <f ca="1">(RANDBETWEEN($E$14,$F$14)*$I$9)+$I$10+$I$18</f>
        <v>-369472.96408399101</v>
      </c>
      <c r="J237" s="37">
        <f ca="1">(RANDBETWEEN($E$14,$F$14)*$J$9)+$J$10+$J$18</f>
        <v>-9238.8910066427197</v>
      </c>
      <c r="K237" s="37">
        <f ca="1">(RANDBETWEEN($E$14,$F$14)*$K$9)+$K$10+$K$18</f>
        <v>260393.25392346107</v>
      </c>
      <c r="L237" s="37">
        <f ca="1">(RANDBETWEEN($E$14,$F$14)*$L$9)+$L$10+$L$18</f>
        <v>671221.40421803342</v>
      </c>
      <c r="M237" s="37">
        <f ca="1">(RANDBETWEEN($E$14,$F$14)*$M$9)+$M$10+$M$18</f>
        <v>1424944.0925515993</v>
      </c>
      <c r="N237" s="37">
        <f t="shared" ref="N237" ca="1" si="200">NPV($E$23+$F$23,H237:M237)+$H$4</f>
        <v>1228167.7294197315</v>
      </c>
    </row>
    <row r="238" spans="4:17" x14ac:dyDescent="0.25">
      <c r="D238" s="33"/>
      <c r="E238" s="33">
        <v>208</v>
      </c>
      <c r="F238" s="37"/>
      <c r="G238" s="37"/>
      <c r="H238" s="37">
        <f t="shared" si="2"/>
        <v>868800</v>
      </c>
      <c r="I238" s="37">
        <f ca="1">(RANDBETWEEN($E$14,$F$14)*$I$9)+$I$10+$I$18</f>
        <v>-369472.96408399101</v>
      </c>
      <c r="J238" s="37">
        <f ca="1">(RANDBETWEEN($E$14,$F$14)*$J$9)+$J$10+$J$18</f>
        <v>-9238.8910066427197</v>
      </c>
      <c r="K238" s="37">
        <f ca="1">(RANDBETWEEN($E$14,$F$14)*$K$9)+$K$10+$K$18</f>
        <v>260393.25392346107</v>
      </c>
      <c r="L238" s="37">
        <f ca="1">(RANDBETWEEN($E$14,$F$14)*$L$9)+$L$10+$L$18</f>
        <v>671221.40421803342</v>
      </c>
      <c r="M238" s="37">
        <f ca="1">(RANDBETWEEN($E$14,$F$14)*$M$9)+$M$10+$M$18</f>
        <v>1043245.7659826493</v>
      </c>
      <c r="N238" s="37">
        <f t="shared" ref="N238" ca="1" si="201">NPV($E$23+$F$23,H238:M238)+$H$4</f>
        <v>943338.56126354542</v>
      </c>
    </row>
    <row r="239" spans="4:17" x14ac:dyDescent="0.25">
      <c r="D239" s="33"/>
      <c r="E239" s="33">
        <v>209</v>
      </c>
      <c r="F239" s="37"/>
      <c r="G239" s="37"/>
      <c r="H239" s="37">
        <f t="shared" si="2"/>
        <v>868800</v>
      </c>
      <c r="I239" s="37">
        <f ca="1">(RANDBETWEEN($E$14,$F$14)*$I$9)+$I$10+$I$18</f>
        <v>-369472.96408399101</v>
      </c>
      <c r="J239" s="37">
        <f ca="1">(RANDBETWEEN($E$14,$F$14)*$J$9)+$J$10+$J$18</f>
        <v>-9238.8910066427197</v>
      </c>
      <c r="K239" s="37">
        <f ca="1">(RANDBETWEEN($E$14,$F$14)*$K$9)+$K$10+$K$18</f>
        <v>260393.25392346107</v>
      </c>
      <c r="L239" s="37">
        <f ca="1">(RANDBETWEEN($E$14,$F$14)*$L$9)+$L$10+$L$18</f>
        <v>671221.40421803342</v>
      </c>
      <c r="M239" s="37">
        <f ca="1">(RANDBETWEEN($E$14,$F$14)*$M$9)+$M$10+$M$18</f>
        <v>1043245.7659826493</v>
      </c>
      <c r="N239" s="37">
        <f t="shared" ref="N239" ca="1" si="202">NPV($E$23+$F$23,H239:M239)+$H$4</f>
        <v>943338.56126354542</v>
      </c>
    </row>
    <row r="240" spans="4:17" x14ac:dyDescent="0.25">
      <c r="D240" s="33"/>
      <c r="E240" s="33">
        <v>210</v>
      </c>
      <c r="F240" s="37"/>
      <c r="G240" s="37"/>
      <c r="H240" s="37">
        <f t="shared" si="2"/>
        <v>868800</v>
      </c>
      <c r="I240" s="37">
        <f ca="1">(RANDBETWEEN($E$14,$F$14)*$I$9)+$I$10+$I$18</f>
        <v>-189819.59895313275</v>
      </c>
      <c r="J240" s="37">
        <f ca="1">(RANDBETWEEN($E$14,$F$14)*$J$9)+$J$10+$J$18</f>
        <v>221933.48456383706</v>
      </c>
      <c r="K240" s="37">
        <f ca="1">(RANDBETWEEN($E$14,$F$14)*$K$9)+$K$10+$K$18</f>
        <v>24363.532183028292</v>
      </c>
      <c r="L240" s="37">
        <f ca="1">(RANDBETWEEN($E$14,$F$14)*$L$9)+$L$10+$L$18</f>
        <v>999716.39339203853</v>
      </c>
      <c r="M240" s="37">
        <f ca="1">(RANDBETWEEN($E$14,$F$14)*$M$9)+$M$10+$M$18</f>
        <v>1043245.7659826493</v>
      </c>
      <c r="N240" s="37">
        <f t="shared" ref="N240" ca="1" si="203">NPV($E$23+$F$23,H240:M240)+$H$4</f>
        <v>1369187.0324723539</v>
      </c>
    </row>
    <row r="241" spans="4:17" x14ac:dyDescent="0.25">
      <c r="D241" s="33"/>
      <c r="E241" s="33">
        <v>211</v>
      </c>
      <c r="F241" s="37"/>
      <c r="G241" s="37"/>
      <c r="H241" s="37">
        <f t="shared" si="2"/>
        <v>868800</v>
      </c>
      <c r="I241" s="37">
        <f ca="1">(RANDBETWEEN($E$14,$F$14)*$I$9)+$I$10+$I$18</f>
        <v>-369472.96408399101</v>
      </c>
      <c r="J241" s="37">
        <f ca="1">(RANDBETWEEN($E$14,$F$14)*$J$9)+$J$10+$J$18</f>
        <v>-9238.8910066427197</v>
      </c>
      <c r="K241" s="37">
        <f ca="1">(RANDBETWEEN($E$14,$F$14)*$K$9)+$K$10+$K$18</f>
        <v>260393.25392346107</v>
      </c>
      <c r="L241" s="37">
        <f ca="1">(RANDBETWEEN($E$14,$F$14)*$L$9)+$L$10+$L$18</f>
        <v>671221.40421803342</v>
      </c>
      <c r="M241" s="37">
        <f ca="1">(RANDBETWEEN($E$14,$F$14)*$M$9)+$M$10+$M$18</f>
        <v>1424944.0925515993</v>
      </c>
      <c r="N241" s="37">
        <f t="shared" ref="N241" ca="1" si="204">NPV($E$23+$F$23,H241:M241)+$H$4</f>
        <v>1228167.7294197315</v>
      </c>
    </row>
    <row r="242" spans="4:17" x14ac:dyDescent="0.25">
      <c r="D242" s="33"/>
      <c r="E242" s="33">
        <v>212</v>
      </c>
      <c r="F242" s="37"/>
      <c r="G242" s="37"/>
      <c r="H242" s="37">
        <f t="shared" si="2"/>
        <v>868800</v>
      </c>
      <c r="I242" s="37">
        <f ca="1">(RANDBETWEEN($E$14,$F$14)*$I$9)+$I$10+$I$18</f>
        <v>-189819.59895313275</v>
      </c>
      <c r="J242" s="37">
        <f ca="1">(RANDBETWEEN($E$14,$F$14)*$J$9)+$J$10+$J$18</f>
        <v>-9238.8910066427197</v>
      </c>
      <c r="K242" s="37">
        <f ca="1">(RANDBETWEEN($E$14,$F$14)*$K$9)+$K$10+$K$18</f>
        <v>24363.532183028292</v>
      </c>
      <c r="L242" s="37">
        <f ca="1">(RANDBETWEEN($E$14,$F$14)*$L$9)+$L$10+$L$18</f>
        <v>999716.39339203853</v>
      </c>
      <c r="M242" s="37">
        <f ca="1">(RANDBETWEEN($E$14,$F$14)*$M$9)+$M$10+$M$18</f>
        <v>1424944.0925515993</v>
      </c>
      <c r="N242" s="37">
        <f t="shared" ref="N242" ca="1" si="205">NPV($E$23+$F$23,H242:M242)+$H$4</f>
        <v>1454320.8108689203</v>
      </c>
    </row>
    <row r="243" spans="4:17" x14ac:dyDescent="0.25">
      <c r="D243" s="33"/>
      <c r="E243" s="33">
        <v>213</v>
      </c>
      <c r="F243" s="37"/>
      <c r="G243" s="37"/>
      <c r="H243" s="37">
        <f t="shared" si="2"/>
        <v>868800</v>
      </c>
      <c r="I243" s="37">
        <f ca="1">(RANDBETWEEN($E$14,$F$14)*$I$9)+$I$10+$I$18</f>
        <v>-189819.59895313275</v>
      </c>
      <c r="J243" s="37">
        <f ca="1">(RANDBETWEEN($E$14,$F$14)*$J$9)+$J$10+$J$18</f>
        <v>-9238.8910066427197</v>
      </c>
      <c r="K243" s="37">
        <f ca="1">(RANDBETWEEN($E$14,$F$14)*$K$9)+$K$10+$K$18</f>
        <v>24363.532183028292</v>
      </c>
      <c r="L243" s="37">
        <f ca="1">(RANDBETWEEN($E$14,$F$14)*$L$9)+$L$10+$L$18</f>
        <v>671221.40421803342</v>
      </c>
      <c r="M243" s="37">
        <f ca="1">(RANDBETWEEN($E$14,$F$14)*$M$9)+$M$10+$M$18</f>
        <v>1043245.7659826493</v>
      </c>
      <c r="N243" s="37">
        <f t="shared" ref="N243" ca="1" si="206">NPV($E$23+$F$23,H243:M243)+$H$4</f>
        <v>912107.22314112843</v>
      </c>
      <c r="Q243" s="37"/>
    </row>
    <row r="244" spans="4:17" x14ac:dyDescent="0.25">
      <c r="D244" s="33"/>
      <c r="E244" s="33">
        <v>214</v>
      </c>
      <c r="F244" s="37"/>
      <c r="G244" s="37"/>
      <c r="H244" s="37">
        <f t="shared" si="2"/>
        <v>868800</v>
      </c>
      <c r="I244" s="37">
        <f ca="1">(RANDBETWEEN($E$14,$F$14)*$I$9)+$I$10+$I$18</f>
        <v>-189819.59895313275</v>
      </c>
      <c r="J244" s="37">
        <f ca="1">(RANDBETWEEN($E$14,$F$14)*$J$9)+$J$10+$J$18</f>
        <v>221933.48456383706</v>
      </c>
      <c r="K244" s="37">
        <f ca="1">(RANDBETWEEN($E$14,$F$14)*$K$9)+$K$10+$K$18</f>
        <v>24363.532183028292</v>
      </c>
      <c r="L244" s="37">
        <f ca="1">(RANDBETWEEN($E$14,$F$14)*$L$9)+$L$10+$L$18</f>
        <v>671221.40421803342</v>
      </c>
      <c r="M244" s="37">
        <f ca="1">(RANDBETWEEN($E$14,$F$14)*$M$9)+$M$10+$M$18</f>
        <v>1043245.7659826493</v>
      </c>
      <c r="N244" s="37">
        <f t="shared" ref="N244" ca="1" si="207">NPV($E$23+$F$23,H244:M244)+$H$4</f>
        <v>1111802.6129007479</v>
      </c>
    </row>
    <row r="245" spans="4:17" x14ac:dyDescent="0.25">
      <c r="D245" s="33"/>
      <c r="E245" s="33">
        <v>215</v>
      </c>
      <c r="F245" s="37"/>
      <c r="G245" s="37"/>
      <c r="H245" s="37">
        <f t="shared" si="2"/>
        <v>868800</v>
      </c>
      <c r="I245" s="37">
        <f ca="1">(RANDBETWEEN($E$14,$F$14)*$I$9)+$I$10+$I$18</f>
        <v>-369472.96408399101</v>
      </c>
      <c r="J245" s="37">
        <f ca="1">(RANDBETWEEN($E$14,$F$14)*$J$9)+$J$10+$J$18</f>
        <v>-9238.8910066427197</v>
      </c>
      <c r="K245" s="37">
        <f ca="1">(RANDBETWEEN($E$14,$F$14)*$K$9)+$K$10+$K$18</f>
        <v>24363.532183028292</v>
      </c>
      <c r="L245" s="37">
        <f ca="1">(RANDBETWEEN($E$14,$F$14)*$L$9)+$L$10+$L$18</f>
        <v>999716.39339203853</v>
      </c>
      <c r="M245" s="37">
        <f ca="1">(RANDBETWEEN($E$14,$F$14)*$M$9)+$M$10+$M$18</f>
        <v>1043245.7659826493</v>
      </c>
      <c r="N245" s="37">
        <f t="shared" ref="N245" ca="1" si="208">NPV($E$23+$F$23,H245:M245)+$H$4</f>
        <v>1006540.7446348586</v>
      </c>
      <c r="Q245" s="37"/>
    </row>
    <row r="246" spans="4:17" x14ac:dyDescent="0.25">
      <c r="D246" s="33"/>
      <c r="E246" s="33">
        <v>216</v>
      </c>
      <c r="F246" s="37"/>
      <c r="G246" s="37"/>
      <c r="H246" s="37">
        <f t="shared" si="2"/>
        <v>868800</v>
      </c>
      <c r="I246" s="37">
        <f ca="1">(RANDBETWEEN($E$14,$F$14)*$I$9)+$I$10+$I$18</f>
        <v>-369472.96408399101</v>
      </c>
      <c r="J246" s="37">
        <f ca="1">(RANDBETWEEN($E$14,$F$14)*$J$9)+$J$10+$J$18</f>
        <v>-9238.8910066427197</v>
      </c>
      <c r="K246" s="37">
        <f ca="1">(RANDBETWEEN($E$14,$F$14)*$K$9)+$K$10+$K$18</f>
        <v>24363.532183028292</v>
      </c>
      <c r="L246" s="37">
        <f ca="1">(RANDBETWEEN($E$14,$F$14)*$L$9)+$L$10+$L$18</f>
        <v>671221.40421803342</v>
      </c>
      <c r="M246" s="37">
        <f ca="1">(RANDBETWEEN($E$14,$F$14)*$M$9)+$M$10+$M$18</f>
        <v>1043245.7659826493</v>
      </c>
      <c r="N246" s="37">
        <f t="shared" ref="N246" ca="1" si="209">NPV($E$23+$F$23,H246:M246)+$H$4</f>
        <v>749156.32506325236</v>
      </c>
    </row>
    <row r="247" spans="4:17" x14ac:dyDescent="0.25">
      <c r="D247" s="33"/>
      <c r="E247" s="33">
        <v>217</v>
      </c>
      <c r="F247" s="37"/>
      <c r="G247" s="37"/>
      <c r="H247" s="37">
        <f t="shared" si="2"/>
        <v>868800</v>
      </c>
      <c r="I247" s="37">
        <f ca="1">(RANDBETWEEN($E$14,$F$14)*$I$9)+$I$10+$I$18</f>
        <v>-369472.96408399101</v>
      </c>
      <c r="J247" s="37">
        <f ca="1">(RANDBETWEEN($E$14,$F$14)*$J$9)+$J$10+$J$18</f>
        <v>-9238.8910066427197</v>
      </c>
      <c r="K247" s="37">
        <f ca="1">(RANDBETWEEN($E$14,$F$14)*$K$9)+$K$10+$K$18</f>
        <v>24363.532183028292</v>
      </c>
      <c r="L247" s="37">
        <f ca="1">(RANDBETWEEN($E$14,$F$14)*$L$9)+$L$10+$L$18</f>
        <v>999716.39339203853</v>
      </c>
      <c r="M247" s="37">
        <f ca="1">(RANDBETWEEN($E$14,$F$14)*$M$9)+$M$10+$M$18</f>
        <v>1043245.7659826493</v>
      </c>
      <c r="N247" s="37">
        <f t="shared" ref="N247" ca="1" si="210">NPV($E$23+$F$23,H247:M247)+$H$4</f>
        <v>1006540.7446348586</v>
      </c>
    </row>
    <row r="248" spans="4:17" x14ac:dyDescent="0.25">
      <c r="D248" s="33"/>
      <c r="E248" s="33">
        <v>218</v>
      </c>
      <c r="F248" s="37"/>
      <c r="G248" s="37"/>
      <c r="H248" s="37">
        <f t="shared" si="2"/>
        <v>868800</v>
      </c>
      <c r="I248" s="37">
        <f ca="1">(RANDBETWEEN($E$14,$F$14)*$I$9)+$I$10+$I$18</f>
        <v>-189819.59895313275</v>
      </c>
      <c r="J248" s="37">
        <f ca="1">(RANDBETWEEN($E$14,$F$14)*$J$9)+$J$10+$J$18</f>
        <v>-9238.8910066427197</v>
      </c>
      <c r="K248" s="37">
        <f ca="1">(RANDBETWEEN($E$14,$F$14)*$K$9)+$K$10+$K$18</f>
        <v>24363.532183028292</v>
      </c>
      <c r="L248" s="37">
        <f ca="1">(RANDBETWEEN($E$14,$F$14)*$L$9)+$L$10+$L$18</f>
        <v>671221.40421803342</v>
      </c>
      <c r="M248" s="37">
        <f ca="1">(RANDBETWEEN($E$14,$F$14)*$M$9)+$M$10+$M$18</f>
        <v>1043245.7659826493</v>
      </c>
      <c r="N248" s="37">
        <f t="shared" ref="N248" ca="1" si="211">NPV($E$23+$F$23,H248:M248)+$H$4</f>
        <v>912107.22314112843</v>
      </c>
    </row>
    <row r="249" spans="4:17" x14ac:dyDescent="0.25">
      <c r="D249" s="33"/>
      <c r="E249" s="33">
        <v>219</v>
      </c>
      <c r="F249" s="37"/>
      <c r="G249" s="37"/>
      <c r="H249" s="37">
        <f t="shared" si="2"/>
        <v>868800</v>
      </c>
      <c r="I249" s="37">
        <f ca="1">(RANDBETWEEN($E$14,$F$14)*$I$9)+$I$10+$I$18</f>
        <v>-189819.59895313275</v>
      </c>
      <c r="J249" s="37">
        <f ca="1">(RANDBETWEEN($E$14,$F$14)*$J$9)+$J$10+$J$18</f>
        <v>221933.48456383706</v>
      </c>
      <c r="K249" s="37">
        <f ca="1">(RANDBETWEEN($E$14,$F$14)*$K$9)+$K$10+$K$18</f>
        <v>24363.532183028292</v>
      </c>
      <c r="L249" s="37">
        <f ca="1">(RANDBETWEEN($E$14,$F$14)*$L$9)+$L$10+$L$18</f>
        <v>671221.40421803342</v>
      </c>
      <c r="M249" s="37">
        <f ca="1">(RANDBETWEEN($E$14,$F$14)*$M$9)+$M$10+$M$18</f>
        <v>1043245.7659826493</v>
      </c>
      <c r="N249" s="37">
        <f t="shared" ref="N249" ca="1" si="212">NPV($E$23+$F$23,H249:M249)+$H$4</f>
        <v>1111802.6129007479</v>
      </c>
    </row>
    <row r="250" spans="4:17" x14ac:dyDescent="0.25">
      <c r="D250" s="33"/>
      <c r="E250" s="33">
        <v>220</v>
      </c>
      <c r="F250" s="37"/>
      <c r="G250" s="37"/>
      <c r="H250" s="37">
        <f t="shared" si="2"/>
        <v>868800</v>
      </c>
      <c r="I250" s="37">
        <f ca="1">(RANDBETWEEN($E$14,$F$14)*$I$9)+$I$10+$I$18</f>
        <v>-369472.96408399101</v>
      </c>
      <c r="J250" s="37">
        <f ca="1">(RANDBETWEEN($E$14,$F$14)*$J$9)+$J$10+$J$18</f>
        <v>-9238.8910066427197</v>
      </c>
      <c r="K250" s="37">
        <f ca="1">(RANDBETWEEN($E$14,$F$14)*$K$9)+$K$10+$K$18</f>
        <v>24363.532183028292</v>
      </c>
      <c r="L250" s="37">
        <f ca="1">(RANDBETWEEN($E$14,$F$14)*$L$9)+$L$10+$L$18</f>
        <v>671221.40421803342</v>
      </c>
      <c r="M250" s="37">
        <f ca="1">(RANDBETWEEN($E$14,$F$14)*$M$9)+$M$10+$M$18</f>
        <v>1424944.0925515993</v>
      </c>
      <c r="N250" s="37">
        <f t="shared" ref="N250" ca="1" si="213">NPV($E$23+$F$23,H250:M250)+$H$4</f>
        <v>1033985.4932194382</v>
      </c>
    </row>
    <row r="251" spans="4:17" x14ac:dyDescent="0.25">
      <c r="D251" s="33"/>
      <c r="E251" s="33">
        <v>221</v>
      </c>
      <c r="F251" s="37"/>
      <c r="G251" s="37"/>
      <c r="H251" s="37">
        <f t="shared" si="2"/>
        <v>868800</v>
      </c>
      <c r="I251" s="37">
        <f ca="1">(RANDBETWEEN($E$14,$F$14)*$I$9)+$I$10+$I$18</f>
        <v>-189819.59895313275</v>
      </c>
      <c r="J251" s="37">
        <f ca="1">(RANDBETWEEN($E$14,$F$14)*$J$9)+$J$10+$J$18</f>
        <v>221933.48456383706</v>
      </c>
      <c r="K251" s="37">
        <f ca="1">(RANDBETWEEN($E$14,$F$14)*$K$9)+$K$10+$K$18</f>
        <v>260393.25392346107</v>
      </c>
      <c r="L251" s="37">
        <f ca="1">(RANDBETWEEN($E$14,$F$14)*$L$9)+$L$10+$L$18</f>
        <v>671221.40421803342</v>
      </c>
      <c r="M251" s="37">
        <f ca="1">(RANDBETWEEN($E$14,$F$14)*$M$9)+$M$10+$M$18</f>
        <v>1043245.7659826493</v>
      </c>
      <c r="N251" s="37">
        <f t="shared" ref="N251" ca="1" si="214">NPV($E$23+$F$23,H251:M251)+$H$4</f>
        <v>1305984.8491010414</v>
      </c>
    </row>
    <row r="252" spans="4:17" x14ac:dyDescent="0.25">
      <c r="D252" s="33"/>
      <c r="E252" s="33">
        <v>222</v>
      </c>
      <c r="F252" s="37"/>
      <c r="G252" s="37"/>
      <c r="H252" s="37">
        <f t="shared" si="2"/>
        <v>868800</v>
      </c>
      <c r="I252" s="37">
        <f ca="1">(RANDBETWEEN($E$14,$F$14)*$I$9)+$I$10+$I$18</f>
        <v>-369472.96408399101</v>
      </c>
      <c r="J252" s="37">
        <f ca="1">(RANDBETWEEN($E$14,$F$14)*$J$9)+$J$10+$J$18</f>
        <v>-9238.8910066427197</v>
      </c>
      <c r="K252" s="37">
        <f ca="1">(RANDBETWEEN($E$14,$F$14)*$K$9)+$K$10+$K$18</f>
        <v>260393.25392346107</v>
      </c>
      <c r="L252" s="37">
        <f ca="1">(RANDBETWEEN($E$14,$F$14)*$L$9)+$L$10+$L$18</f>
        <v>671221.40421803342</v>
      </c>
      <c r="M252" s="37">
        <f ca="1">(RANDBETWEEN($E$14,$F$14)*$M$9)+$M$10+$M$18</f>
        <v>1424944.0925515993</v>
      </c>
      <c r="N252" s="37">
        <f t="shared" ref="N252" ca="1" si="215">NPV($E$23+$F$23,H252:M252)+$H$4</f>
        <v>1228167.7294197315</v>
      </c>
      <c r="Q252" s="37"/>
    </row>
    <row r="253" spans="4:17" x14ac:dyDescent="0.25">
      <c r="D253" s="33"/>
      <c r="E253" s="33">
        <v>223</v>
      </c>
      <c r="F253" s="37"/>
      <c r="G253" s="37"/>
      <c r="H253" s="37">
        <f t="shared" si="2"/>
        <v>868800</v>
      </c>
      <c r="I253" s="37">
        <f ca="1">(RANDBETWEEN($E$14,$F$14)*$I$9)+$I$10+$I$18</f>
        <v>-369472.96408399101</v>
      </c>
      <c r="J253" s="37">
        <f ca="1">(RANDBETWEEN($E$14,$F$14)*$J$9)+$J$10+$J$18</f>
        <v>-9238.8910066427197</v>
      </c>
      <c r="K253" s="37">
        <f ca="1">(RANDBETWEEN($E$14,$F$14)*$K$9)+$K$10+$K$18</f>
        <v>24363.532183028292</v>
      </c>
      <c r="L253" s="37">
        <f ca="1">(RANDBETWEEN($E$14,$F$14)*$L$9)+$L$10+$L$18</f>
        <v>999716.39339203853</v>
      </c>
      <c r="M253" s="37">
        <f ca="1">(RANDBETWEEN($E$14,$F$14)*$M$9)+$M$10+$M$18</f>
        <v>1424944.0925515993</v>
      </c>
      <c r="N253" s="37">
        <f t="shared" ref="N253" ca="1" si="216">NPV($E$23+$F$23,H253:M253)+$H$4</f>
        <v>1291369.9127910445</v>
      </c>
    </row>
    <row r="254" spans="4:17" x14ac:dyDescent="0.25">
      <c r="D254" s="33"/>
      <c r="E254" s="33">
        <v>224</v>
      </c>
      <c r="F254" s="37"/>
      <c r="G254" s="37"/>
      <c r="H254" s="37">
        <f t="shared" si="2"/>
        <v>868800</v>
      </c>
      <c r="I254" s="37">
        <f ca="1">(RANDBETWEEN($E$14,$F$14)*$I$9)+$I$10+$I$18</f>
        <v>-189819.59895313275</v>
      </c>
      <c r="J254" s="37">
        <f ca="1">(RANDBETWEEN($E$14,$F$14)*$J$9)+$J$10+$J$18</f>
        <v>-9238.8910066427197</v>
      </c>
      <c r="K254" s="37">
        <f ca="1">(RANDBETWEEN($E$14,$F$14)*$K$9)+$K$10+$K$18</f>
        <v>24363.532183028292</v>
      </c>
      <c r="L254" s="37">
        <f ca="1">(RANDBETWEEN($E$14,$F$14)*$L$9)+$L$10+$L$18</f>
        <v>999716.39339203853</v>
      </c>
      <c r="M254" s="37">
        <f ca="1">(RANDBETWEEN($E$14,$F$14)*$M$9)+$M$10+$M$18</f>
        <v>1043245.7659826493</v>
      </c>
      <c r="N254" s="37">
        <f t="shared" ref="N254" ca="1" si="217">NPV($E$23+$F$23,H254:M254)+$H$4</f>
        <v>1169491.6427127346</v>
      </c>
    </row>
    <row r="255" spans="4:17" x14ac:dyDescent="0.25">
      <c r="D255" s="33"/>
      <c r="E255" s="33">
        <v>225</v>
      </c>
      <c r="F255" s="37"/>
      <c r="G255" s="37"/>
      <c r="H255" s="37">
        <f t="shared" si="2"/>
        <v>868800</v>
      </c>
      <c r="I255" s="37">
        <f ca="1">(RANDBETWEEN($E$14,$F$14)*$I$9)+$I$10+$I$18</f>
        <v>-369472.96408399101</v>
      </c>
      <c r="J255" s="37">
        <f ca="1">(RANDBETWEEN($E$14,$F$14)*$J$9)+$J$10+$J$18</f>
        <v>-9238.8910066427197</v>
      </c>
      <c r="K255" s="37">
        <f ca="1">(RANDBETWEEN($E$14,$F$14)*$K$9)+$K$10+$K$18</f>
        <v>260393.25392346107</v>
      </c>
      <c r="L255" s="37">
        <f ca="1">(RANDBETWEEN($E$14,$F$14)*$L$9)+$L$10+$L$18</f>
        <v>671221.40421803342</v>
      </c>
      <c r="M255" s="37">
        <f ca="1">(RANDBETWEEN($E$14,$F$14)*$M$9)+$M$10+$M$18</f>
        <v>1424944.0925515993</v>
      </c>
      <c r="N255" s="37">
        <f t="shared" ref="N255" ca="1" si="218">NPV($E$23+$F$23,H255:M255)+$H$4</f>
        <v>1228167.7294197315</v>
      </c>
    </row>
    <row r="256" spans="4:17" x14ac:dyDescent="0.25">
      <c r="D256" s="33"/>
      <c r="E256" s="33">
        <v>226</v>
      </c>
      <c r="F256" s="37"/>
      <c r="G256" s="37"/>
      <c r="H256" s="37">
        <f t="shared" si="2"/>
        <v>868800</v>
      </c>
      <c r="I256" s="37">
        <f ca="1">(RANDBETWEEN($E$14,$F$14)*$I$9)+$I$10+$I$18</f>
        <v>-369472.96408399101</v>
      </c>
      <c r="J256" s="37">
        <f ca="1">(RANDBETWEEN($E$14,$F$14)*$J$9)+$J$10+$J$18</f>
        <v>221933.48456383706</v>
      </c>
      <c r="K256" s="37">
        <f ca="1">(RANDBETWEEN($E$14,$F$14)*$K$9)+$K$10+$K$18</f>
        <v>260393.25392346107</v>
      </c>
      <c r="L256" s="37">
        <f ca="1">(RANDBETWEEN($E$14,$F$14)*$L$9)+$L$10+$L$18</f>
        <v>671221.40421803342</v>
      </c>
      <c r="M256" s="37">
        <f ca="1">(RANDBETWEEN($E$14,$F$14)*$M$9)+$M$10+$M$18</f>
        <v>1043245.7659826493</v>
      </c>
      <c r="N256" s="37">
        <f t="shared" ref="N256" ca="1" si="219">NPV($E$23+$F$23,H256:M256)+$H$4</f>
        <v>1143033.9510231656</v>
      </c>
    </row>
    <row r="257" spans="4:17" x14ac:dyDescent="0.25">
      <c r="D257" s="33"/>
      <c r="E257" s="33">
        <v>227</v>
      </c>
      <c r="F257" s="37"/>
      <c r="G257" s="37"/>
      <c r="H257" s="37">
        <f t="shared" si="2"/>
        <v>868800</v>
      </c>
      <c r="I257" s="37">
        <f ca="1">(RANDBETWEEN($E$14,$F$14)*$I$9)+$I$10+$I$18</f>
        <v>-189819.59895313275</v>
      </c>
      <c r="J257" s="37">
        <f ca="1">(RANDBETWEEN($E$14,$F$14)*$J$9)+$J$10+$J$18</f>
        <v>-9238.8910066427197</v>
      </c>
      <c r="K257" s="37">
        <f ca="1">(RANDBETWEEN($E$14,$F$14)*$K$9)+$K$10+$K$18</f>
        <v>24363.532183028292</v>
      </c>
      <c r="L257" s="37">
        <f ca="1">(RANDBETWEEN($E$14,$F$14)*$L$9)+$L$10+$L$18</f>
        <v>999716.39339203853</v>
      </c>
      <c r="M257" s="37">
        <f ca="1">(RANDBETWEEN($E$14,$F$14)*$M$9)+$M$10+$M$18</f>
        <v>1043245.7659826493</v>
      </c>
      <c r="N257" s="37">
        <f t="shared" ref="N257" ca="1" si="220">NPV($E$23+$F$23,H257:M257)+$H$4</f>
        <v>1169491.6427127346</v>
      </c>
    </row>
    <row r="258" spans="4:17" x14ac:dyDescent="0.25">
      <c r="D258" s="33"/>
      <c r="E258" s="33">
        <v>228</v>
      </c>
      <c r="F258" s="37"/>
      <c r="G258" s="37"/>
      <c r="H258" s="37">
        <f t="shared" si="2"/>
        <v>868800</v>
      </c>
      <c r="I258" s="37">
        <f ca="1">(RANDBETWEEN($E$14,$F$14)*$I$9)+$I$10+$I$18</f>
        <v>-189819.59895313275</v>
      </c>
      <c r="J258" s="37">
        <f ca="1">(RANDBETWEEN($E$14,$F$14)*$J$9)+$J$10+$J$18</f>
        <v>-9238.8910066427197</v>
      </c>
      <c r="K258" s="37">
        <f ca="1">(RANDBETWEEN($E$14,$F$14)*$K$9)+$K$10+$K$18</f>
        <v>260393.25392346107</v>
      </c>
      <c r="L258" s="37">
        <f ca="1">(RANDBETWEEN($E$14,$F$14)*$L$9)+$L$10+$L$18</f>
        <v>671221.40421803342</v>
      </c>
      <c r="M258" s="37">
        <f ca="1">(RANDBETWEEN($E$14,$F$14)*$M$9)+$M$10+$M$18</f>
        <v>1424944.0925515993</v>
      </c>
      <c r="N258" s="37">
        <f t="shared" ref="N258" ca="1" si="221">NPV($E$23+$F$23,H258:M258)+$H$4</f>
        <v>1391118.6274976074</v>
      </c>
    </row>
    <row r="259" spans="4:17" x14ac:dyDescent="0.25">
      <c r="D259" s="33"/>
      <c r="E259" s="33">
        <v>229</v>
      </c>
      <c r="F259" s="37"/>
      <c r="G259" s="37"/>
      <c r="H259" s="37">
        <f t="shared" si="2"/>
        <v>868800</v>
      </c>
      <c r="I259" s="37">
        <f ca="1">(RANDBETWEEN($E$14,$F$14)*$I$9)+$I$10+$I$18</f>
        <v>-189819.59895313275</v>
      </c>
      <c r="J259" s="37">
        <f ca="1">(RANDBETWEEN($E$14,$F$14)*$J$9)+$J$10+$J$18</f>
        <v>221933.48456383706</v>
      </c>
      <c r="K259" s="37">
        <f ca="1">(RANDBETWEEN($E$14,$F$14)*$K$9)+$K$10+$K$18</f>
        <v>260393.25392346107</v>
      </c>
      <c r="L259" s="37">
        <f ca="1">(RANDBETWEEN($E$14,$F$14)*$L$9)+$L$10+$L$18</f>
        <v>671221.40421803342</v>
      </c>
      <c r="M259" s="37">
        <f ca="1">(RANDBETWEEN($E$14,$F$14)*$M$9)+$M$10+$M$18</f>
        <v>1424944.0925515993</v>
      </c>
      <c r="N259" s="37">
        <f t="shared" ref="N259" ca="1" si="222">NPV($E$23+$F$23,H259:M259)+$H$4</f>
        <v>1590814.0172572271</v>
      </c>
    </row>
    <row r="260" spans="4:17" x14ac:dyDescent="0.25">
      <c r="D260" s="33"/>
      <c r="E260" s="33">
        <v>230</v>
      </c>
      <c r="F260" s="37"/>
      <c r="G260" s="37"/>
      <c r="H260" s="37">
        <f t="shared" si="2"/>
        <v>868800</v>
      </c>
      <c r="I260" s="37">
        <f ca="1">(RANDBETWEEN($E$14,$F$14)*$I$9)+$I$10+$I$18</f>
        <v>-189819.59895313275</v>
      </c>
      <c r="J260" s="37">
        <f ca="1">(RANDBETWEEN($E$14,$F$14)*$J$9)+$J$10+$J$18</f>
        <v>-9238.8910066427197</v>
      </c>
      <c r="K260" s="37">
        <f ca="1">(RANDBETWEEN($E$14,$F$14)*$K$9)+$K$10+$K$18</f>
        <v>260393.25392346107</v>
      </c>
      <c r="L260" s="37">
        <f ca="1">(RANDBETWEEN($E$14,$F$14)*$L$9)+$L$10+$L$18</f>
        <v>671221.40421803342</v>
      </c>
      <c r="M260" s="37">
        <f ca="1">(RANDBETWEEN($E$14,$F$14)*$M$9)+$M$10+$M$18</f>
        <v>1424944.0925515993</v>
      </c>
      <c r="N260" s="37">
        <f t="shared" ref="N260" ca="1" si="223">NPV($E$23+$F$23,H260:M260)+$H$4</f>
        <v>1391118.6274976074</v>
      </c>
    </row>
    <row r="261" spans="4:17" x14ac:dyDescent="0.25">
      <c r="D261" s="33"/>
      <c r="E261" s="33">
        <v>231</v>
      </c>
      <c r="F261" s="37"/>
      <c r="G261" s="37"/>
      <c r="H261" s="37">
        <f t="shared" si="2"/>
        <v>868800</v>
      </c>
      <c r="I261" s="37">
        <f ca="1">(RANDBETWEEN($E$14,$F$14)*$I$9)+$I$10+$I$18</f>
        <v>-369472.96408399101</v>
      </c>
      <c r="J261" s="37">
        <f ca="1">(RANDBETWEEN($E$14,$F$14)*$J$9)+$J$10+$J$18</f>
        <v>-9238.8910066427197</v>
      </c>
      <c r="K261" s="37">
        <f ca="1">(RANDBETWEEN($E$14,$F$14)*$K$9)+$K$10+$K$18</f>
        <v>260393.25392346107</v>
      </c>
      <c r="L261" s="37">
        <f ca="1">(RANDBETWEEN($E$14,$F$14)*$L$9)+$L$10+$L$18</f>
        <v>671221.40421803342</v>
      </c>
      <c r="M261" s="37">
        <f ca="1">(RANDBETWEEN($E$14,$F$14)*$M$9)+$M$10+$M$18</f>
        <v>1043245.7659826493</v>
      </c>
      <c r="N261" s="37">
        <f t="shared" ref="N261" ca="1" si="224">NPV($E$23+$F$23,H261:M261)+$H$4</f>
        <v>943338.56126354542</v>
      </c>
    </row>
    <row r="262" spans="4:17" x14ac:dyDescent="0.25">
      <c r="D262" s="33"/>
      <c r="E262" s="33">
        <v>232</v>
      </c>
      <c r="F262" s="37"/>
      <c r="G262" s="37"/>
      <c r="H262" s="37">
        <f t="shared" si="2"/>
        <v>868800</v>
      </c>
      <c r="I262" s="37">
        <f ca="1">(RANDBETWEEN($E$14,$F$14)*$I$9)+$I$10+$I$18</f>
        <v>-189819.59895313275</v>
      </c>
      <c r="J262" s="37">
        <f ca="1">(RANDBETWEEN($E$14,$F$14)*$J$9)+$J$10+$J$18</f>
        <v>-9238.8910066427197</v>
      </c>
      <c r="K262" s="37">
        <f ca="1">(RANDBETWEEN($E$14,$F$14)*$K$9)+$K$10+$K$18</f>
        <v>260393.25392346107</v>
      </c>
      <c r="L262" s="37">
        <f ca="1">(RANDBETWEEN($E$14,$F$14)*$L$9)+$L$10+$L$18</f>
        <v>671221.40421803342</v>
      </c>
      <c r="M262" s="37">
        <f ca="1">(RANDBETWEEN($E$14,$F$14)*$M$9)+$M$10+$M$18</f>
        <v>1043245.7659826493</v>
      </c>
      <c r="N262" s="37">
        <f t="shared" ref="N262" ca="1" si="225">NPV($E$23+$F$23,H262:M262)+$H$4</f>
        <v>1106289.4593414213</v>
      </c>
    </row>
    <row r="263" spans="4:17" x14ac:dyDescent="0.25">
      <c r="D263" s="33"/>
      <c r="E263" s="33">
        <v>233</v>
      </c>
      <c r="F263" s="37"/>
      <c r="G263" s="37"/>
      <c r="H263" s="37">
        <f t="shared" si="2"/>
        <v>868800</v>
      </c>
      <c r="I263" s="37">
        <f ca="1">(RANDBETWEEN($E$14,$F$14)*$I$9)+$I$10+$I$18</f>
        <v>-189819.59895313275</v>
      </c>
      <c r="J263" s="37">
        <f ca="1">(RANDBETWEEN($E$14,$F$14)*$J$9)+$J$10+$J$18</f>
        <v>221933.48456383706</v>
      </c>
      <c r="K263" s="37">
        <f ca="1">(RANDBETWEEN($E$14,$F$14)*$K$9)+$K$10+$K$18</f>
        <v>260393.25392346107</v>
      </c>
      <c r="L263" s="37">
        <f ca="1">(RANDBETWEEN($E$14,$F$14)*$L$9)+$L$10+$L$18</f>
        <v>999716.39339203853</v>
      </c>
      <c r="M263" s="37">
        <f ca="1">(RANDBETWEEN($E$14,$F$14)*$M$9)+$M$10+$M$18</f>
        <v>1424944.0925515993</v>
      </c>
      <c r="N263" s="37">
        <f t="shared" ref="N263" ca="1" si="226">NPV($E$23+$F$23,H263:M263)+$H$4</f>
        <v>1848198.4368288331</v>
      </c>
    </row>
    <row r="264" spans="4:17" x14ac:dyDescent="0.25">
      <c r="D264" s="33"/>
      <c r="E264" s="33">
        <v>234</v>
      </c>
      <c r="F264" s="37"/>
      <c r="G264" s="37"/>
      <c r="H264" s="37">
        <f t="shared" si="2"/>
        <v>868800</v>
      </c>
      <c r="I264" s="37">
        <f ca="1">(RANDBETWEEN($E$14,$F$14)*$I$9)+$I$10+$I$18</f>
        <v>-369472.96408399101</v>
      </c>
      <c r="J264" s="37">
        <f ca="1">(RANDBETWEEN($E$14,$F$14)*$J$9)+$J$10+$J$18</f>
        <v>221933.48456383706</v>
      </c>
      <c r="K264" s="37">
        <f ca="1">(RANDBETWEEN($E$14,$F$14)*$K$9)+$K$10+$K$18</f>
        <v>24363.532183028292</v>
      </c>
      <c r="L264" s="37">
        <f ca="1">(RANDBETWEEN($E$14,$F$14)*$L$9)+$L$10+$L$18</f>
        <v>671221.40421803342</v>
      </c>
      <c r="M264" s="37">
        <f ca="1">(RANDBETWEEN($E$14,$F$14)*$M$9)+$M$10+$M$18</f>
        <v>1424944.0925515993</v>
      </c>
      <c r="N264" s="37">
        <f t="shared" ref="N264" ca="1" si="227">NPV($E$23+$F$23,H264:M264)+$H$4</f>
        <v>1233680.8829790577</v>
      </c>
    </row>
    <row r="265" spans="4:17" x14ac:dyDescent="0.25">
      <c r="D265" s="33"/>
      <c r="E265" s="33">
        <v>235</v>
      </c>
      <c r="F265" s="37"/>
      <c r="G265" s="37"/>
      <c r="H265" s="37">
        <f t="shared" si="2"/>
        <v>868800</v>
      </c>
      <c r="I265" s="37">
        <f ca="1">(RANDBETWEEN($E$14,$F$14)*$I$9)+$I$10+$I$18</f>
        <v>-189819.59895313275</v>
      </c>
      <c r="J265" s="37">
        <f ca="1">(RANDBETWEEN($E$14,$F$14)*$J$9)+$J$10+$J$18</f>
        <v>-9238.8910066427197</v>
      </c>
      <c r="K265" s="37">
        <f ca="1">(RANDBETWEEN($E$14,$F$14)*$K$9)+$K$10+$K$18</f>
        <v>24363.532183028292</v>
      </c>
      <c r="L265" s="37">
        <f ca="1">(RANDBETWEEN($E$14,$F$14)*$L$9)+$L$10+$L$18</f>
        <v>671221.40421803342</v>
      </c>
      <c r="M265" s="37">
        <f ca="1">(RANDBETWEEN($E$14,$F$14)*$M$9)+$M$10+$M$18</f>
        <v>1043245.7659826493</v>
      </c>
      <c r="N265" s="37">
        <f t="shared" ref="N265" ca="1" si="228">NPV($E$23+$F$23,H265:M265)+$H$4</f>
        <v>912107.22314112843</v>
      </c>
      <c r="Q265" s="37"/>
    </row>
    <row r="266" spans="4:17" x14ac:dyDescent="0.25">
      <c r="D266" s="33"/>
      <c r="E266" s="33">
        <v>236</v>
      </c>
      <c r="F266" s="37"/>
      <c r="G266" s="37"/>
      <c r="H266" s="37">
        <f t="shared" si="2"/>
        <v>868800</v>
      </c>
      <c r="I266" s="37">
        <f ca="1">(RANDBETWEEN($E$14,$F$14)*$I$9)+$I$10+$I$18</f>
        <v>-189819.59895313275</v>
      </c>
      <c r="J266" s="37">
        <f ca="1">(RANDBETWEEN($E$14,$F$14)*$J$9)+$J$10+$J$18</f>
        <v>-9238.8910066427197</v>
      </c>
      <c r="K266" s="37">
        <f ca="1">(RANDBETWEEN($E$14,$F$14)*$K$9)+$K$10+$K$18</f>
        <v>24363.532183028292</v>
      </c>
      <c r="L266" s="37">
        <f ca="1">(RANDBETWEEN($E$14,$F$14)*$L$9)+$L$10+$L$18</f>
        <v>999716.39339203853</v>
      </c>
      <c r="M266" s="37">
        <f ca="1">(RANDBETWEEN($E$14,$F$14)*$M$9)+$M$10+$M$18</f>
        <v>1043245.7659826493</v>
      </c>
      <c r="N266" s="37">
        <f t="shared" ref="N266" ca="1" si="229">NPV($E$23+$F$23,H266:M266)+$H$4</f>
        <v>1169491.6427127346</v>
      </c>
    </row>
    <row r="267" spans="4:17" x14ac:dyDescent="0.25">
      <c r="D267" s="33"/>
      <c r="E267" s="33">
        <v>237</v>
      </c>
      <c r="F267" s="37"/>
      <c r="G267" s="37"/>
      <c r="H267" s="37">
        <f t="shared" si="2"/>
        <v>868800</v>
      </c>
      <c r="I267" s="37">
        <f ca="1">(RANDBETWEEN($E$14,$F$14)*$I$9)+$I$10+$I$18</f>
        <v>-369472.96408399101</v>
      </c>
      <c r="J267" s="37">
        <f ca="1">(RANDBETWEEN($E$14,$F$14)*$J$9)+$J$10+$J$18</f>
        <v>221933.48456383706</v>
      </c>
      <c r="K267" s="37">
        <f ca="1">(RANDBETWEEN($E$14,$F$14)*$K$9)+$K$10+$K$18</f>
        <v>24363.532183028292</v>
      </c>
      <c r="L267" s="37">
        <f ca="1">(RANDBETWEEN($E$14,$F$14)*$L$9)+$L$10+$L$18</f>
        <v>671221.40421803342</v>
      </c>
      <c r="M267" s="37">
        <f ca="1">(RANDBETWEEN($E$14,$F$14)*$M$9)+$M$10+$M$18</f>
        <v>1043245.7659826493</v>
      </c>
      <c r="N267" s="37">
        <f t="shared" ref="N267" ca="1" si="230">NPV($E$23+$F$23,H267:M267)+$H$4</f>
        <v>948851.71482287208</v>
      </c>
    </row>
    <row r="268" spans="4:17" x14ac:dyDescent="0.25">
      <c r="D268" s="33"/>
      <c r="E268" s="33">
        <v>238</v>
      </c>
      <c r="F268" s="37"/>
      <c r="G268" s="37"/>
      <c r="H268" s="37">
        <f t="shared" si="2"/>
        <v>868800</v>
      </c>
      <c r="I268" s="37">
        <f ca="1">(RANDBETWEEN($E$14,$F$14)*$I$9)+$I$10+$I$18</f>
        <v>-369472.96408399101</v>
      </c>
      <c r="J268" s="37">
        <f ca="1">(RANDBETWEEN($E$14,$F$14)*$J$9)+$J$10+$J$18</f>
        <v>221933.48456383706</v>
      </c>
      <c r="K268" s="37">
        <f ca="1">(RANDBETWEEN($E$14,$F$14)*$K$9)+$K$10+$K$18</f>
        <v>24363.532183028292</v>
      </c>
      <c r="L268" s="37">
        <f ca="1">(RANDBETWEEN($E$14,$F$14)*$L$9)+$L$10+$L$18</f>
        <v>671221.40421803342</v>
      </c>
      <c r="M268" s="37">
        <f ca="1">(RANDBETWEEN($E$14,$F$14)*$M$9)+$M$10+$M$18</f>
        <v>1043245.7659826493</v>
      </c>
      <c r="N268" s="37">
        <f t="shared" ref="N268" ca="1" si="231">NPV($E$23+$F$23,H268:M268)+$H$4</f>
        <v>948851.71482287208</v>
      </c>
    </row>
    <row r="269" spans="4:17" x14ac:dyDescent="0.25">
      <c r="D269" s="33"/>
      <c r="E269" s="33">
        <v>239</v>
      </c>
      <c r="F269" s="37"/>
      <c r="G269" s="37"/>
      <c r="H269" s="37">
        <f t="shared" si="2"/>
        <v>868800</v>
      </c>
      <c r="I269" s="37">
        <f ca="1">(RANDBETWEEN($E$14,$F$14)*$I$9)+$I$10+$I$18</f>
        <v>-369472.96408399101</v>
      </c>
      <c r="J269" s="37">
        <f ca="1">(RANDBETWEEN($E$14,$F$14)*$J$9)+$J$10+$J$18</f>
        <v>-9238.8910066427197</v>
      </c>
      <c r="K269" s="37">
        <f ca="1">(RANDBETWEEN($E$14,$F$14)*$K$9)+$K$10+$K$18</f>
        <v>24363.532183028292</v>
      </c>
      <c r="L269" s="37">
        <f ca="1">(RANDBETWEEN($E$14,$F$14)*$L$9)+$L$10+$L$18</f>
        <v>999716.39339203853</v>
      </c>
      <c r="M269" s="37">
        <f ca="1">(RANDBETWEEN($E$14,$F$14)*$M$9)+$M$10+$M$18</f>
        <v>1424944.0925515993</v>
      </c>
      <c r="N269" s="37">
        <f t="shared" ref="N269" ca="1" si="232">NPV($E$23+$F$23,H269:M269)+$H$4</f>
        <v>1291369.9127910445</v>
      </c>
    </row>
    <row r="270" spans="4:17" x14ac:dyDescent="0.25">
      <c r="D270" s="33"/>
      <c r="E270" s="33">
        <v>240</v>
      </c>
      <c r="F270" s="37"/>
      <c r="G270" s="37"/>
      <c r="H270" s="37">
        <f t="shared" si="2"/>
        <v>868800</v>
      </c>
      <c r="I270" s="37">
        <f ca="1">(RANDBETWEEN($E$14,$F$14)*$I$9)+$I$10+$I$18</f>
        <v>-369472.96408399101</v>
      </c>
      <c r="J270" s="37">
        <f ca="1">(RANDBETWEEN($E$14,$F$14)*$J$9)+$J$10+$J$18</f>
        <v>221933.48456383706</v>
      </c>
      <c r="K270" s="37">
        <f ca="1">(RANDBETWEEN($E$14,$F$14)*$K$9)+$K$10+$K$18</f>
        <v>24363.532183028292</v>
      </c>
      <c r="L270" s="37">
        <f ca="1">(RANDBETWEEN($E$14,$F$14)*$L$9)+$L$10+$L$18</f>
        <v>671221.40421803342</v>
      </c>
      <c r="M270" s="37">
        <f ca="1">(RANDBETWEEN($E$14,$F$14)*$M$9)+$M$10+$M$18</f>
        <v>1043245.7659826493</v>
      </c>
      <c r="N270" s="37">
        <f t="shared" ref="N270" ca="1" si="233">NPV($E$23+$F$23,H270:M270)+$H$4</f>
        <v>948851.71482287208</v>
      </c>
      <c r="Q270" s="37"/>
    </row>
    <row r="271" spans="4:17" x14ac:dyDescent="0.25">
      <c r="D271" s="33"/>
      <c r="E271" s="33">
        <v>241</v>
      </c>
      <c r="F271" s="37"/>
      <c r="G271" s="37"/>
      <c r="H271" s="37">
        <f t="shared" si="2"/>
        <v>868800</v>
      </c>
      <c r="I271" s="37">
        <f ca="1">(RANDBETWEEN($E$14,$F$14)*$I$9)+$I$10+$I$18</f>
        <v>-189819.59895313275</v>
      </c>
      <c r="J271" s="37">
        <f ca="1">(RANDBETWEEN($E$14,$F$14)*$J$9)+$J$10+$J$18</f>
        <v>221933.48456383706</v>
      </c>
      <c r="K271" s="37">
        <f ca="1">(RANDBETWEEN($E$14,$F$14)*$K$9)+$K$10+$K$18</f>
        <v>24363.532183028292</v>
      </c>
      <c r="L271" s="37">
        <f ca="1">(RANDBETWEEN($E$14,$F$14)*$L$9)+$L$10+$L$18</f>
        <v>999716.39339203853</v>
      </c>
      <c r="M271" s="37">
        <f ca="1">(RANDBETWEEN($E$14,$F$14)*$M$9)+$M$10+$M$18</f>
        <v>1424944.0925515993</v>
      </c>
      <c r="N271" s="37">
        <f t="shared" ref="N271" ca="1" si="234">NPV($E$23+$F$23,H271:M271)+$H$4</f>
        <v>1654016.20062854</v>
      </c>
    </row>
    <row r="272" spans="4:17" x14ac:dyDescent="0.25">
      <c r="D272" s="33"/>
      <c r="E272" s="33">
        <v>242</v>
      </c>
      <c r="F272" s="37"/>
      <c r="G272" s="37"/>
      <c r="H272" s="37">
        <f t="shared" si="2"/>
        <v>868800</v>
      </c>
      <c r="I272" s="37">
        <f ca="1">(RANDBETWEEN($E$14,$F$14)*$I$9)+$I$10+$I$18</f>
        <v>-369472.96408399101</v>
      </c>
      <c r="J272" s="37">
        <f ca="1">(RANDBETWEEN($E$14,$F$14)*$J$9)+$J$10+$J$18</f>
        <v>221933.48456383706</v>
      </c>
      <c r="K272" s="37">
        <f ca="1">(RANDBETWEEN($E$14,$F$14)*$K$9)+$K$10+$K$18</f>
        <v>260393.25392346107</v>
      </c>
      <c r="L272" s="37">
        <f ca="1">(RANDBETWEEN($E$14,$F$14)*$L$9)+$L$10+$L$18</f>
        <v>671221.40421803342</v>
      </c>
      <c r="M272" s="37">
        <f ca="1">(RANDBETWEEN($E$14,$F$14)*$M$9)+$M$10+$M$18</f>
        <v>1043245.7659826493</v>
      </c>
      <c r="N272" s="37">
        <f t="shared" ref="N272" ca="1" si="235">NPV($E$23+$F$23,H272:M272)+$H$4</f>
        <v>1143033.9510231656</v>
      </c>
    </row>
    <row r="273" spans="4:17" x14ac:dyDescent="0.25">
      <c r="D273" s="33"/>
      <c r="E273" s="33">
        <v>243</v>
      </c>
      <c r="F273" s="37"/>
      <c r="G273" s="37"/>
      <c r="H273" s="37">
        <f t="shared" si="2"/>
        <v>868800</v>
      </c>
      <c r="I273" s="37">
        <f ca="1">(RANDBETWEEN($E$14,$F$14)*$I$9)+$I$10+$I$18</f>
        <v>-369472.96408399101</v>
      </c>
      <c r="J273" s="37">
        <f ca="1">(RANDBETWEEN($E$14,$F$14)*$J$9)+$J$10+$J$18</f>
        <v>-9238.8910066427197</v>
      </c>
      <c r="K273" s="37">
        <f ca="1">(RANDBETWEEN($E$14,$F$14)*$K$9)+$K$10+$K$18</f>
        <v>260393.25392346107</v>
      </c>
      <c r="L273" s="37">
        <f ca="1">(RANDBETWEEN($E$14,$F$14)*$L$9)+$L$10+$L$18</f>
        <v>999716.39339203853</v>
      </c>
      <c r="M273" s="37">
        <f ca="1">(RANDBETWEEN($E$14,$F$14)*$M$9)+$M$10+$M$18</f>
        <v>1043245.7659826493</v>
      </c>
      <c r="N273" s="37">
        <f t="shared" ref="N273" ca="1" si="236">NPV($E$23+$F$23,H273:M273)+$H$4</f>
        <v>1200722.9808351514</v>
      </c>
    </row>
    <row r="274" spans="4:17" x14ac:dyDescent="0.25">
      <c r="D274" s="33"/>
      <c r="E274" s="33">
        <v>244</v>
      </c>
      <c r="F274" s="37"/>
      <c r="G274" s="37"/>
      <c r="H274" s="37">
        <f t="shared" si="2"/>
        <v>868800</v>
      </c>
      <c r="I274" s="37">
        <f ca="1">(RANDBETWEEN($E$14,$F$14)*$I$9)+$I$10+$I$18</f>
        <v>-369472.96408399101</v>
      </c>
      <c r="J274" s="37">
        <f ca="1">(RANDBETWEEN($E$14,$F$14)*$J$9)+$J$10+$J$18</f>
        <v>221933.48456383706</v>
      </c>
      <c r="K274" s="37">
        <f ca="1">(RANDBETWEEN($E$14,$F$14)*$K$9)+$K$10+$K$18</f>
        <v>24363.532183028292</v>
      </c>
      <c r="L274" s="37">
        <f ca="1">(RANDBETWEEN($E$14,$F$14)*$L$9)+$L$10+$L$18</f>
        <v>671221.40421803342</v>
      </c>
      <c r="M274" s="37">
        <f ca="1">(RANDBETWEEN($E$14,$F$14)*$M$9)+$M$10+$M$18</f>
        <v>1043245.7659826493</v>
      </c>
      <c r="N274" s="37">
        <f t="shared" ref="N274" ca="1" si="237">NPV($E$23+$F$23,H274:M274)+$H$4</f>
        <v>948851.71482287208</v>
      </c>
    </row>
    <row r="275" spans="4:17" x14ac:dyDescent="0.25">
      <c r="D275" s="33"/>
      <c r="E275" s="33">
        <v>245</v>
      </c>
      <c r="F275" s="37"/>
      <c r="G275" s="37"/>
      <c r="H275" s="37">
        <f t="shared" si="2"/>
        <v>868800</v>
      </c>
      <c r="I275" s="37">
        <f ca="1">(RANDBETWEEN($E$14,$F$14)*$I$9)+$I$10+$I$18</f>
        <v>-189819.59895313275</v>
      </c>
      <c r="J275" s="37">
        <f ca="1">(RANDBETWEEN($E$14,$F$14)*$J$9)+$J$10+$J$18</f>
        <v>-9238.8910066427197</v>
      </c>
      <c r="K275" s="37">
        <f ca="1">(RANDBETWEEN($E$14,$F$14)*$K$9)+$K$10+$K$18</f>
        <v>260393.25392346107</v>
      </c>
      <c r="L275" s="37">
        <f ca="1">(RANDBETWEEN($E$14,$F$14)*$L$9)+$L$10+$L$18</f>
        <v>671221.40421803342</v>
      </c>
      <c r="M275" s="37">
        <f ca="1">(RANDBETWEEN($E$14,$F$14)*$M$9)+$M$10+$M$18</f>
        <v>1424944.0925515993</v>
      </c>
      <c r="N275" s="37">
        <f t="shared" ref="N275" ca="1" si="238">NPV($E$23+$F$23,H275:M275)+$H$4</f>
        <v>1391118.6274976074</v>
      </c>
    </row>
    <row r="276" spans="4:17" x14ac:dyDescent="0.25">
      <c r="D276" s="33"/>
      <c r="E276" s="33">
        <v>246</v>
      </c>
      <c r="F276" s="37"/>
      <c r="G276" s="37"/>
      <c r="H276" s="37">
        <f t="shared" si="2"/>
        <v>868800</v>
      </c>
      <c r="I276" s="37">
        <f ca="1">(RANDBETWEEN($E$14,$F$14)*$I$9)+$I$10+$I$18</f>
        <v>-189819.59895313275</v>
      </c>
      <c r="J276" s="37">
        <f ca="1">(RANDBETWEEN($E$14,$F$14)*$J$9)+$J$10+$J$18</f>
        <v>221933.48456383706</v>
      </c>
      <c r="K276" s="37">
        <f ca="1">(RANDBETWEEN($E$14,$F$14)*$K$9)+$K$10+$K$18</f>
        <v>24363.532183028292</v>
      </c>
      <c r="L276" s="37">
        <f ca="1">(RANDBETWEEN($E$14,$F$14)*$L$9)+$L$10+$L$18</f>
        <v>671221.40421803342</v>
      </c>
      <c r="M276" s="37">
        <f ca="1">(RANDBETWEEN($E$14,$F$14)*$M$9)+$M$10+$M$18</f>
        <v>1424944.0925515993</v>
      </c>
      <c r="N276" s="37">
        <f t="shared" ref="N276" ca="1" si="239">NPV($E$23+$F$23,H276:M276)+$H$4</f>
        <v>1396631.7810569336</v>
      </c>
    </row>
    <row r="277" spans="4:17" x14ac:dyDescent="0.25">
      <c r="D277" s="33"/>
      <c r="E277" s="33">
        <v>247</v>
      </c>
      <c r="F277" s="37"/>
      <c r="G277" s="37"/>
      <c r="H277" s="37">
        <f t="shared" si="2"/>
        <v>868800</v>
      </c>
      <c r="I277" s="37">
        <f ca="1">(RANDBETWEEN($E$14,$F$14)*$I$9)+$I$10+$I$18</f>
        <v>-369472.96408399101</v>
      </c>
      <c r="J277" s="37">
        <f ca="1">(RANDBETWEEN($E$14,$F$14)*$J$9)+$J$10+$J$18</f>
        <v>221933.48456383706</v>
      </c>
      <c r="K277" s="37">
        <f ca="1">(RANDBETWEEN($E$14,$F$14)*$K$9)+$K$10+$K$18</f>
        <v>260393.25392346107</v>
      </c>
      <c r="L277" s="37">
        <f ca="1">(RANDBETWEEN($E$14,$F$14)*$L$9)+$L$10+$L$18</f>
        <v>671221.40421803342</v>
      </c>
      <c r="M277" s="37">
        <f ca="1">(RANDBETWEEN($E$14,$F$14)*$M$9)+$M$10+$M$18</f>
        <v>1424944.0925515993</v>
      </c>
      <c r="N277" s="37">
        <f t="shared" ref="N277" ca="1" si="240">NPV($E$23+$F$23,H277:M277)+$H$4</f>
        <v>1427863.1191793513</v>
      </c>
    </row>
    <row r="278" spans="4:17" x14ac:dyDescent="0.25">
      <c r="D278" s="33"/>
      <c r="E278" s="33">
        <v>248</v>
      </c>
      <c r="F278" s="37"/>
      <c r="G278" s="37"/>
      <c r="H278" s="37">
        <f t="shared" si="2"/>
        <v>868800</v>
      </c>
      <c r="I278" s="37">
        <f ca="1">(RANDBETWEEN($E$14,$F$14)*$I$9)+$I$10+$I$18</f>
        <v>-369472.96408399101</v>
      </c>
      <c r="J278" s="37">
        <f ca="1">(RANDBETWEEN($E$14,$F$14)*$J$9)+$J$10+$J$18</f>
        <v>221933.48456383706</v>
      </c>
      <c r="K278" s="37">
        <f ca="1">(RANDBETWEEN($E$14,$F$14)*$K$9)+$K$10+$K$18</f>
        <v>24363.532183028292</v>
      </c>
      <c r="L278" s="37">
        <f ca="1">(RANDBETWEEN($E$14,$F$14)*$L$9)+$L$10+$L$18</f>
        <v>671221.40421803342</v>
      </c>
      <c r="M278" s="37">
        <f ca="1">(RANDBETWEEN($E$14,$F$14)*$M$9)+$M$10+$M$18</f>
        <v>1043245.7659826493</v>
      </c>
      <c r="N278" s="37">
        <f t="shared" ref="N278" ca="1" si="241">NPV($E$23+$F$23,H278:M278)+$H$4</f>
        <v>948851.71482287208</v>
      </c>
    </row>
    <row r="279" spans="4:17" x14ac:dyDescent="0.25">
      <c r="D279" s="33"/>
      <c r="E279" s="33">
        <v>249</v>
      </c>
      <c r="F279" s="37"/>
      <c r="G279" s="37"/>
      <c r="H279" s="37">
        <f t="shared" si="2"/>
        <v>868800</v>
      </c>
      <c r="I279" s="37">
        <f ca="1">(RANDBETWEEN($E$14,$F$14)*$I$9)+$I$10+$I$18</f>
        <v>-189819.59895313275</v>
      </c>
      <c r="J279" s="37">
        <f ca="1">(RANDBETWEEN($E$14,$F$14)*$J$9)+$J$10+$J$18</f>
        <v>221933.48456383706</v>
      </c>
      <c r="K279" s="37">
        <f ca="1">(RANDBETWEEN($E$14,$F$14)*$K$9)+$K$10+$K$18</f>
        <v>260393.25392346107</v>
      </c>
      <c r="L279" s="37">
        <f ca="1">(RANDBETWEEN($E$14,$F$14)*$L$9)+$L$10+$L$18</f>
        <v>671221.40421803342</v>
      </c>
      <c r="M279" s="37">
        <f ca="1">(RANDBETWEEN($E$14,$F$14)*$M$9)+$M$10+$M$18</f>
        <v>1424944.0925515993</v>
      </c>
      <c r="N279" s="37">
        <f t="shared" ref="N279" ca="1" si="242">NPV($E$23+$F$23,H279:M279)+$H$4</f>
        <v>1590814.0172572271</v>
      </c>
    </row>
    <row r="280" spans="4:17" x14ac:dyDescent="0.25">
      <c r="D280" s="33"/>
      <c r="E280" s="33">
        <v>250</v>
      </c>
      <c r="F280" s="37"/>
      <c r="G280" s="37"/>
      <c r="H280" s="37">
        <f t="shared" si="2"/>
        <v>868800</v>
      </c>
      <c r="I280" s="37">
        <f ca="1">(RANDBETWEEN($E$14,$F$14)*$I$9)+$I$10+$I$18</f>
        <v>-369472.96408399101</v>
      </c>
      <c r="J280" s="37">
        <f ca="1">(RANDBETWEEN($E$14,$F$14)*$J$9)+$J$10+$J$18</f>
        <v>-9238.8910066427197</v>
      </c>
      <c r="K280" s="37">
        <f ca="1">(RANDBETWEEN($E$14,$F$14)*$K$9)+$K$10+$K$18</f>
        <v>24363.532183028292</v>
      </c>
      <c r="L280" s="37">
        <f ca="1">(RANDBETWEEN($E$14,$F$14)*$L$9)+$L$10+$L$18</f>
        <v>999716.39339203853</v>
      </c>
      <c r="M280" s="37">
        <f ca="1">(RANDBETWEEN($E$14,$F$14)*$M$9)+$M$10+$M$18</f>
        <v>1424944.0925515993</v>
      </c>
      <c r="N280" s="37">
        <f t="shared" ref="N280" ca="1" si="243">NPV($E$23+$F$23,H280:M280)+$H$4</f>
        <v>1291369.9127910445</v>
      </c>
    </row>
    <row r="281" spans="4:17" x14ac:dyDescent="0.25">
      <c r="D281" s="33"/>
      <c r="E281" s="33">
        <v>251</v>
      </c>
      <c r="F281" s="37"/>
      <c r="G281" s="37"/>
      <c r="H281" s="37">
        <f t="shared" si="2"/>
        <v>868800</v>
      </c>
      <c r="I281" s="37">
        <f ca="1">(RANDBETWEEN($E$14,$F$14)*$I$9)+$I$10+$I$18</f>
        <v>-369472.96408399101</v>
      </c>
      <c r="J281" s="37">
        <f ca="1">(RANDBETWEEN($E$14,$F$14)*$J$9)+$J$10+$J$18</f>
        <v>-9238.8910066427197</v>
      </c>
      <c r="K281" s="37">
        <f ca="1">(RANDBETWEEN($E$14,$F$14)*$K$9)+$K$10+$K$18</f>
        <v>24363.532183028292</v>
      </c>
      <c r="L281" s="37">
        <f ca="1">(RANDBETWEEN($E$14,$F$14)*$L$9)+$L$10+$L$18</f>
        <v>999716.39339203853</v>
      </c>
      <c r="M281" s="37">
        <f ca="1">(RANDBETWEEN($E$14,$F$14)*$M$9)+$M$10+$M$18</f>
        <v>1043245.7659826493</v>
      </c>
      <c r="N281" s="37">
        <f t="shared" ref="N281" ca="1" si="244">NPV($E$23+$F$23,H281:M281)+$H$4</f>
        <v>1006540.7446348586</v>
      </c>
    </row>
    <row r="282" spans="4:17" x14ac:dyDescent="0.25">
      <c r="D282" s="33"/>
      <c r="E282" s="33">
        <v>252</v>
      </c>
      <c r="F282" s="37"/>
      <c r="G282" s="37"/>
      <c r="H282" s="37">
        <f t="shared" si="2"/>
        <v>868800</v>
      </c>
      <c r="I282" s="37">
        <f ca="1">(RANDBETWEEN($E$14,$F$14)*$I$9)+$I$10+$I$18</f>
        <v>-189819.59895313275</v>
      </c>
      <c r="J282" s="37">
        <f ca="1">(RANDBETWEEN($E$14,$F$14)*$J$9)+$J$10+$J$18</f>
        <v>-9238.8910066427197</v>
      </c>
      <c r="K282" s="37">
        <f ca="1">(RANDBETWEEN($E$14,$F$14)*$K$9)+$K$10+$K$18</f>
        <v>24363.532183028292</v>
      </c>
      <c r="L282" s="37">
        <f ca="1">(RANDBETWEEN($E$14,$F$14)*$L$9)+$L$10+$L$18</f>
        <v>671221.40421803342</v>
      </c>
      <c r="M282" s="37">
        <f ca="1">(RANDBETWEEN($E$14,$F$14)*$M$9)+$M$10+$M$18</f>
        <v>1043245.7659826493</v>
      </c>
      <c r="N282" s="37">
        <f t="shared" ref="N282" ca="1" si="245">NPV($E$23+$F$23,H282:M282)+$H$4</f>
        <v>912107.22314112843</v>
      </c>
    </row>
    <row r="283" spans="4:17" x14ac:dyDescent="0.25">
      <c r="D283" s="33"/>
      <c r="E283" s="33">
        <v>253</v>
      </c>
      <c r="F283" s="37"/>
      <c r="G283" s="37"/>
      <c r="H283" s="37">
        <f t="shared" si="2"/>
        <v>868800</v>
      </c>
      <c r="I283" s="37">
        <f ca="1">(RANDBETWEEN($E$14,$F$14)*$I$9)+$I$10+$I$18</f>
        <v>-189819.59895313275</v>
      </c>
      <c r="J283" s="37">
        <f ca="1">(RANDBETWEEN($E$14,$F$14)*$J$9)+$J$10+$J$18</f>
        <v>221933.48456383706</v>
      </c>
      <c r="K283" s="37">
        <f ca="1">(RANDBETWEEN($E$14,$F$14)*$K$9)+$K$10+$K$18</f>
        <v>260393.25392346107</v>
      </c>
      <c r="L283" s="37">
        <f ca="1">(RANDBETWEEN($E$14,$F$14)*$L$9)+$L$10+$L$18</f>
        <v>999716.39339203853</v>
      </c>
      <c r="M283" s="37">
        <f ca="1">(RANDBETWEEN($E$14,$F$14)*$M$9)+$M$10+$M$18</f>
        <v>1043245.7659826493</v>
      </c>
      <c r="N283" s="37">
        <f t="shared" ref="N283" ca="1" si="246">NPV($E$23+$F$23,H283:M283)+$H$4</f>
        <v>1563369.2686726474</v>
      </c>
    </row>
    <row r="284" spans="4:17" x14ac:dyDescent="0.25">
      <c r="D284" s="33"/>
      <c r="E284" s="33">
        <v>254</v>
      </c>
      <c r="F284" s="37"/>
      <c r="G284" s="37"/>
      <c r="H284" s="37">
        <f t="shared" si="2"/>
        <v>868800</v>
      </c>
      <c r="I284" s="37">
        <f ca="1">(RANDBETWEEN($E$14,$F$14)*$I$9)+$I$10+$I$18</f>
        <v>-189819.59895313275</v>
      </c>
      <c r="J284" s="37">
        <f ca="1">(RANDBETWEEN($E$14,$F$14)*$J$9)+$J$10+$J$18</f>
        <v>-9238.8910066427197</v>
      </c>
      <c r="K284" s="37">
        <f ca="1">(RANDBETWEEN($E$14,$F$14)*$K$9)+$K$10+$K$18</f>
        <v>24363.532183028292</v>
      </c>
      <c r="L284" s="37">
        <f ca="1">(RANDBETWEEN($E$14,$F$14)*$L$9)+$L$10+$L$18</f>
        <v>999716.39339203853</v>
      </c>
      <c r="M284" s="37">
        <f ca="1">(RANDBETWEEN($E$14,$F$14)*$M$9)+$M$10+$M$18</f>
        <v>1424944.0925515993</v>
      </c>
      <c r="N284" s="37">
        <f t="shared" ref="N284" ca="1" si="247">NPV($E$23+$F$23,H284:M284)+$H$4</f>
        <v>1454320.8108689203</v>
      </c>
    </row>
    <row r="285" spans="4:17" x14ac:dyDescent="0.25">
      <c r="D285" s="33"/>
      <c r="E285" s="33">
        <v>255</v>
      </c>
      <c r="F285" s="37"/>
      <c r="G285" s="37"/>
      <c r="H285" s="37">
        <f t="shared" si="2"/>
        <v>868800</v>
      </c>
      <c r="I285" s="37">
        <f ca="1">(RANDBETWEEN($E$14,$F$14)*$I$9)+$I$10+$I$18</f>
        <v>-189819.59895313275</v>
      </c>
      <c r="J285" s="37">
        <f ca="1">(RANDBETWEEN($E$14,$F$14)*$J$9)+$J$10+$J$18</f>
        <v>221933.48456383706</v>
      </c>
      <c r="K285" s="37">
        <f ca="1">(RANDBETWEEN($E$14,$F$14)*$K$9)+$K$10+$K$18</f>
        <v>24363.532183028292</v>
      </c>
      <c r="L285" s="37">
        <f ca="1">(RANDBETWEEN($E$14,$F$14)*$L$9)+$L$10+$L$18</f>
        <v>999716.39339203853</v>
      </c>
      <c r="M285" s="37">
        <f ca="1">(RANDBETWEEN($E$14,$F$14)*$M$9)+$M$10+$M$18</f>
        <v>1424944.0925515993</v>
      </c>
      <c r="N285" s="37">
        <f t="shared" ref="N285" ca="1" si="248">NPV($E$23+$F$23,H285:M285)+$H$4</f>
        <v>1654016.20062854</v>
      </c>
    </row>
    <row r="286" spans="4:17" x14ac:dyDescent="0.25">
      <c r="D286" s="33"/>
      <c r="E286" s="33">
        <v>256</v>
      </c>
      <c r="F286" s="37"/>
      <c r="G286" s="37"/>
      <c r="H286" s="37">
        <f t="shared" ref="H286:H540" si="249">$H$16</f>
        <v>868800</v>
      </c>
      <c r="I286" s="37">
        <f ca="1">(RANDBETWEEN($E$14,$F$14)*$I$9)+$I$10+$I$18</f>
        <v>-189819.59895313275</v>
      </c>
      <c r="J286" s="37">
        <f ca="1">(RANDBETWEEN($E$14,$F$14)*$J$9)+$J$10+$J$18</f>
        <v>221933.48456383706</v>
      </c>
      <c r="K286" s="37">
        <f ca="1">(RANDBETWEEN($E$14,$F$14)*$K$9)+$K$10+$K$18</f>
        <v>260393.25392346107</v>
      </c>
      <c r="L286" s="37">
        <f ca="1">(RANDBETWEEN($E$14,$F$14)*$L$9)+$L$10+$L$18</f>
        <v>999716.39339203853</v>
      </c>
      <c r="M286" s="37">
        <f ca="1">(RANDBETWEEN($E$14,$F$14)*$M$9)+$M$10+$M$18</f>
        <v>1424944.0925515993</v>
      </c>
      <c r="N286" s="37">
        <f t="shared" ref="N286" ca="1" si="250">NPV($E$23+$F$23,H286:M286)+$H$4</f>
        <v>1848198.4368288331</v>
      </c>
    </row>
    <row r="287" spans="4:17" x14ac:dyDescent="0.25">
      <c r="D287" s="33"/>
      <c r="E287" s="33">
        <v>257</v>
      </c>
      <c r="F287" s="37"/>
      <c r="G287" s="37"/>
      <c r="H287" s="37">
        <f t="shared" si="249"/>
        <v>868800</v>
      </c>
      <c r="I287" s="37">
        <f ca="1">(RANDBETWEEN($E$14,$F$14)*$I$9)+$I$10+$I$18</f>
        <v>-369472.96408399101</v>
      </c>
      <c r="J287" s="37">
        <f ca="1">(RANDBETWEEN($E$14,$F$14)*$J$9)+$J$10+$J$18</f>
        <v>221933.48456383706</v>
      </c>
      <c r="K287" s="37">
        <f ca="1">(RANDBETWEEN($E$14,$F$14)*$K$9)+$K$10+$K$18</f>
        <v>260393.25392346107</v>
      </c>
      <c r="L287" s="37">
        <f ca="1">(RANDBETWEEN($E$14,$F$14)*$L$9)+$L$10+$L$18</f>
        <v>999716.39339203853</v>
      </c>
      <c r="M287" s="37">
        <f ca="1">(RANDBETWEEN($E$14,$F$14)*$M$9)+$M$10+$M$18</f>
        <v>1424944.0925515993</v>
      </c>
      <c r="N287" s="37">
        <f t="shared" ref="N287" ca="1" si="251">NPV($E$23+$F$23,H287:M287)+$H$4</f>
        <v>1685247.5387509572</v>
      </c>
    </row>
    <row r="288" spans="4:17" x14ac:dyDescent="0.25">
      <c r="D288" s="33"/>
      <c r="E288" s="33">
        <v>258</v>
      </c>
      <c r="F288" s="37"/>
      <c r="G288" s="37"/>
      <c r="H288" s="37">
        <f t="shared" si="249"/>
        <v>868800</v>
      </c>
      <c r="I288" s="37">
        <f ca="1">(RANDBETWEEN($E$14,$F$14)*$I$9)+$I$10+$I$18</f>
        <v>-369472.96408399101</v>
      </c>
      <c r="J288" s="37">
        <f ca="1">(RANDBETWEEN($E$14,$F$14)*$J$9)+$J$10+$J$18</f>
        <v>-9238.8910066427197</v>
      </c>
      <c r="K288" s="37">
        <f ca="1">(RANDBETWEEN($E$14,$F$14)*$K$9)+$K$10+$K$18</f>
        <v>260393.25392346107</v>
      </c>
      <c r="L288" s="37">
        <f ca="1">(RANDBETWEEN($E$14,$F$14)*$L$9)+$L$10+$L$18</f>
        <v>999716.39339203853</v>
      </c>
      <c r="M288" s="37">
        <f ca="1">(RANDBETWEEN($E$14,$F$14)*$M$9)+$M$10+$M$18</f>
        <v>1043245.7659826493</v>
      </c>
      <c r="N288" s="37">
        <f t="shared" ref="N288" ca="1" si="252">NPV($E$23+$F$23,H288:M288)+$H$4</f>
        <v>1200722.9808351514</v>
      </c>
      <c r="Q288" s="37"/>
    </row>
    <row r="289" spans="4:17" x14ac:dyDescent="0.25">
      <c r="D289" s="33"/>
      <c r="E289" s="33">
        <v>259</v>
      </c>
      <c r="F289" s="37"/>
      <c r="G289" s="37"/>
      <c r="H289" s="37">
        <f t="shared" si="249"/>
        <v>868800</v>
      </c>
      <c r="I289" s="37">
        <f ca="1">(RANDBETWEEN($E$14,$F$14)*$I$9)+$I$10+$I$18</f>
        <v>-189819.59895313275</v>
      </c>
      <c r="J289" s="37">
        <f ca="1">(RANDBETWEEN($E$14,$F$14)*$J$9)+$J$10+$J$18</f>
        <v>221933.48456383706</v>
      </c>
      <c r="K289" s="37">
        <f ca="1">(RANDBETWEEN($E$14,$F$14)*$K$9)+$K$10+$K$18</f>
        <v>24363.532183028292</v>
      </c>
      <c r="L289" s="37">
        <f ca="1">(RANDBETWEEN($E$14,$F$14)*$L$9)+$L$10+$L$18</f>
        <v>671221.40421803342</v>
      </c>
      <c r="M289" s="37">
        <f ca="1">(RANDBETWEEN($E$14,$F$14)*$M$9)+$M$10+$M$18</f>
        <v>1424944.0925515993</v>
      </c>
      <c r="N289" s="37">
        <f t="shared" ref="N289" ca="1" si="253">NPV($E$23+$F$23,H289:M289)+$H$4</f>
        <v>1396631.7810569336</v>
      </c>
    </row>
    <row r="290" spans="4:17" x14ac:dyDescent="0.25">
      <c r="D290" s="33"/>
      <c r="E290" s="33">
        <v>260</v>
      </c>
      <c r="F290" s="37"/>
      <c r="G290" s="37"/>
      <c r="H290" s="37">
        <f t="shared" si="249"/>
        <v>868800</v>
      </c>
      <c r="I290" s="37">
        <f ca="1">(RANDBETWEEN($E$14,$F$14)*$I$9)+$I$10+$I$18</f>
        <v>-189819.59895313275</v>
      </c>
      <c r="J290" s="37">
        <f ca="1">(RANDBETWEEN($E$14,$F$14)*$J$9)+$J$10+$J$18</f>
        <v>-9238.8910066427197</v>
      </c>
      <c r="K290" s="37">
        <f ca="1">(RANDBETWEEN($E$14,$F$14)*$K$9)+$K$10+$K$18</f>
        <v>260393.25392346107</v>
      </c>
      <c r="L290" s="37">
        <f ca="1">(RANDBETWEEN($E$14,$F$14)*$L$9)+$L$10+$L$18</f>
        <v>671221.40421803342</v>
      </c>
      <c r="M290" s="37">
        <f ca="1">(RANDBETWEEN($E$14,$F$14)*$M$9)+$M$10+$M$18</f>
        <v>1424944.0925515993</v>
      </c>
      <c r="N290" s="37">
        <f t="shared" ref="N290" ca="1" si="254">NPV($E$23+$F$23,H290:M290)+$H$4</f>
        <v>1391118.6274976074</v>
      </c>
    </row>
    <row r="291" spans="4:17" x14ac:dyDescent="0.25">
      <c r="D291" s="33"/>
      <c r="E291" s="33">
        <v>261</v>
      </c>
      <c r="F291" s="37"/>
      <c r="G291" s="37"/>
      <c r="H291" s="37">
        <f t="shared" si="249"/>
        <v>868800</v>
      </c>
      <c r="I291" s="37">
        <f ca="1">(RANDBETWEEN($E$14,$F$14)*$I$9)+$I$10+$I$18</f>
        <v>-189819.59895313275</v>
      </c>
      <c r="J291" s="37">
        <f ca="1">(RANDBETWEEN($E$14,$F$14)*$J$9)+$J$10+$J$18</f>
        <v>-9238.8910066427197</v>
      </c>
      <c r="K291" s="37">
        <f ca="1">(RANDBETWEEN($E$14,$F$14)*$K$9)+$K$10+$K$18</f>
        <v>260393.25392346107</v>
      </c>
      <c r="L291" s="37">
        <f ca="1">(RANDBETWEEN($E$14,$F$14)*$L$9)+$L$10+$L$18</f>
        <v>999716.39339203853</v>
      </c>
      <c r="M291" s="37">
        <f ca="1">(RANDBETWEEN($E$14,$F$14)*$M$9)+$M$10+$M$18</f>
        <v>1043245.7659826493</v>
      </c>
      <c r="N291" s="37">
        <f t="shared" ref="N291" ca="1" si="255">NPV($E$23+$F$23,H291:M291)+$H$4</f>
        <v>1363673.8789130282</v>
      </c>
    </row>
    <row r="292" spans="4:17" x14ac:dyDescent="0.25">
      <c r="D292" s="33"/>
      <c r="E292" s="33">
        <v>262</v>
      </c>
      <c r="F292" s="37"/>
      <c r="G292" s="37"/>
      <c r="H292" s="37">
        <f t="shared" si="249"/>
        <v>868800</v>
      </c>
      <c r="I292" s="37">
        <f ca="1">(RANDBETWEEN($E$14,$F$14)*$I$9)+$I$10+$I$18</f>
        <v>-189819.59895313275</v>
      </c>
      <c r="J292" s="37">
        <f ca="1">(RANDBETWEEN($E$14,$F$14)*$J$9)+$J$10+$J$18</f>
        <v>221933.48456383706</v>
      </c>
      <c r="K292" s="37">
        <f ca="1">(RANDBETWEEN($E$14,$F$14)*$K$9)+$K$10+$K$18</f>
        <v>260393.25392346107</v>
      </c>
      <c r="L292" s="37">
        <f ca="1">(RANDBETWEEN($E$14,$F$14)*$L$9)+$L$10+$L$18</f>
        <v>999716.39339203853</v>
      </c>
      <c r="M292" s="37">
        <f ca="1">(RANDBETWEEN($E$14,$F$14)*$M$9)+$M$10+$M$18</f>
        <v>1424944.0925515993</v>
      </c>
      <c r="N292" s="37">
        <f t="shared" ref="N292" ca="1" si="256">NPV($E$23+$F$23,H292:M292)+$H$4</f>
        <v>1848198.4368288331</v>
      </c>
    </row>
    <row r="293" spans="4:17" x14ac:dyDescent="0.25">
      <c r="D293" s="33"/>
      <c r="E293" s="33">
        <v>263</v>
      </c>
      <c r="F293" s="37"/>
      <c r="G293" s="37"/>
      <c r="H293" s="37">
        <f t="shared" si="249"/>
        <v>868800</v>
      </c>
      <c r="I293" s="37">
        <f ca="1">(RANDBETWEEN($E$14,$F$14)*$I$9)+$I$10+$I$18</f>
        <v>-189819.59895313275</v>
      </c>
      <c r="J293" s="37">
        <f ca="1">(RANDBETWEEN($E$14,$F$14)*$J$9)+$J$10+$J$18</f>
        <v>221933.48456383706</v>
      </c>
      <c r="K293" s="37">
        <f ca="1">(RANDBETWEEN($E$14,$F$14)*$K$9)+$K$10+$K$18</f>
        <v>260393.25392346107</v>
      </c>
      <c r="L293" s="37">
        <f ca="1">(RANDBETWEEN($E$14,$F$14)*$L$9)+$L$10+$L$18</f>
        <v>999716.39339203853</v>
      </c>
      <c r="M293" s="37">
        <f ca="1">(RANDBETWEEN($E$14,$F$14)*$M$9)+$M$10+$M$18</f>
        <v>1424944.0925515993</v>
      </c>
      <c r="N293" s="37">
        <f t="shared" ref="N293" ca="1" si="257">NPV($E$23+$F$23,H293:M293)+$H$4</f>
        <v>1848198.4368288331</v>
      </c>
    </row>
    <row r="294" spans="4:17" x14ac:dyDescent="0.25">
      <c r="D294" s="33"/>
      <c r="E294" s="33">
        <v>264</v>
      </c>
      <c r="F294" s="37"/>
      <c r="G294" s="37"/>
      <c r="H294" s="37">
        <f t="shared" si="249"/>
        <v>868800</v>
      </c>
      <c r="I294" s="37">
        <f ca="1">(RANDBETWEEN($E$14,$F$14)*$I$9)+$I$10+$I$18</f>
        <v>-369472.96408399101</v>
      </c>
      <c r="J294" s="37">
        <f ca="1">(RANDBETWEEN($E$14,$F$14)*$J$9)+$J$10+$J$18</f>
        <v>-9238.8910066427197</v>
      </c>
      <c r="K294" s="37">
        <f ca="1">(RANDBETWEEN($E$14,$F$14)*$K$9)+$K$10+$K$18</f>
        <v>260393.25392346107</v>
      </c>
      <c r="L294" s="37">
        <f ca="1">(RANDBETWEEN($E$14,$F$14)*$L$9)+$L$10+$L$18</f>
        <v>671221.40421803342</v>
      </c>
      <c r="M294" s="37">
        <f ca="1">(RANDBETWEEN($E$14,$F$14)*$M$9)+$M$10+$M$18</f>
        <v>1043245.7659826493</v>
      </c>
      <c r="N294" s="37">
        <f t="shared" ref="N294" ca="1" si="258">NPV($E$23+$F$23,H294:M294)+$H$4</f>
        <v>943338.56126354542</v>
      </c>
    </row>
    <row r="295" spans="4:17" x14ac:dyDescent="0.25">
      <c r="D295" s="33"/>
      <c r="E295" s="33">
        <v>265</v>
      </c>
      <c r="F295" s="37"/>
      <c r="G295" s="37"/>
      <c r="H295" s="37">
        <f t="shared" si="249"/>
        <v>868800</v>
      </c>
      <c r="I295" s="37">
        <f ca="1">(RANDBETWEEN($E$14,$F$14)*$I$9)+$I$10+$I$18</f>
        <v>-369472.96408399101</v>
      </c>
      <c r="J295" s="37">
        <f ca="1">(RANDBETWEEN($E$14,$F$14)*$J$9)+$J$10+$J$18</f>
        <v>-9238.8910066427197</v>
      </c>
      <c r="K295" s="37">
        <f ca="1">(RANDBETWEEN($E$14,$F$14)*$K$9)+$K$10+$K$18</f>
        <v>24363.532183028292</v>
      </c>
      <c r="L295" s="37">
        <f ca="1">(RANDBETWEEN($E$14,$F$14)*$L$9)+$L$10+$L$18</f>
        <v>999716.39339203853</v>
      </c>
      <c r="M295" s="37">
        <f ca="1">(RANDBETWEEN($E$14,$F$14)*$M$9)+$M$10+$M$18</f>
        <v>1424944.0925515993</v>
      </c>
      <c r="N295" s="37">
        <f t="shared" ref="N295" ca="1" si="259">NPV($E$23+$F$23,H295:M295)+$H$4</f>
        <v>1291369.9127910445</v>
      </c>
    </row>
    <row r="296" spans="4:17" x14ac:dyDescent="0.25">
      <c r="D296" s="33"/>
      <c r="E296" s="33">
        <v>266</v>
      </c>
      <c r="F296" s="37"/>
      <c r="G296" s="37"/>
      <c r="H296" s="37">
        <f t="shared" si="249"/>
        <v>868800</v>
      </c>
      <c r="I296" s="37">
        <f ca="1">(RANDBETWEEN($E$14,$F$14)*$I$9)+$I$10+$I$18</f>
        <v>-369472.96408399101</v>
      </c>
      <c r="J296" s="37">
        <f ca="1">(RANDBETWEEN($E$14,$F$14)*$J$9)+$J$10+$J$18</f>
        <v>221933.48456383706</v>
      </c>
      <c r="K296" s="37">
        <f ca="1">(RANDBETWEEN($E$14,$F$14)*$K$9)+$K$10+$K$18</f>
        <v>260393.25392346107</v>
      </c>
      <c r="L296" s="37">
        <f ca="1">(RANDBETWEEN($E$14,$F$14)*$L$9)+$L$10+$L$18</f>
        <v>671221.40421803342</v>
      </c>
      <c r="M296" s="37">
        <f ca="1">(RANDBETWEEN($E$14,$F$14)*$M$9)+$M$10+$M$18</f>
        <v>1424944.0925515993</v>
      </c>
      <c r="N296" s="37">
        <f t="shared" ref="N296" ca="1" si="260">NPV($E$23+$F$23,H296:M296)+$H$4</f>
        <v>1427863.1191793513</v>
      </c>
    </row>
    <row r="297" spans="4:17" x14ac:dyDescent="0.25">
      <c r="D297" s="33"/>
      <c r="E297" s="33">
        <v>267</v>
      </c>
      <c r="F297" s="37"/>
      <c r="G297" s="37"/>
      <c r="H297" s="37">
        <f t="shared" si="249"/>
        <v>868800</v>
      </c>
      <c r="I297" s="37">
        <f ca="1">(RANDBETWEEN($E$14,$F$14)*$I$9)+$I$10+$I$18</f>
        <v>-189819.59895313275</v>
      </c>
      <c r="J297" s="37">
        <f ca="1">(RANDBETWEEN($E$14,$F$14)*$J$9)+$J$10+$J$18</f>
        <v>221933.48456383706</v>
      </c>
      <c r="K297" s="37">
        <f ca="1">(RANDBETWEEN($E$14,$F$14)*$K$9)+$K$10+$K$18</f>
        <v>24363.532183028292</v>
      </c>
      <c r="L297" s="37">
        <f ca="1">(RANDBETWEEN($E$14,$F$14)*$L$9)+$L$10+$L$18</f>
        <v>999716.39339203853</v>
      </c>
      <c r="M297" s="37">
        <f ca="1">(RANDBETWEEN($E$14,$F$14)*$M$9)+$M$10+$M$18</f>
        <v>1043245.7659826493</v>
      </c>
      <c r="N297" s="37">
        <f t="shared" ref="N297" ca="1" si="261">NPV($E$23+$F$23,H297:M297)+$H$4</f>
        <v>1369187.0324723539</v>
      </c>
    </row>
    <row r="298" spans="4:17" x14ac:dyDescent="0.25">
      <c r="D298" s="33"/>
      <c r="E298" s="33">
        <v>268</v>
      </c>
      <c r="F298" s="37"/>
      <c r="G298" s="37"/>
      <c r="H298" s="37">
        <f t="shared" si="249"/>
        <v>868800</v>
      </c>
      <c r="I298" s="37">
        <f ca="1">(RANDBETWEEN($E$14,$F$14)*$I$9)+$I$10+$I$18</f>
        <v>-189819.59895313275</v>
      </c>
      <c r="J298" s="37">
        <f ca="1">(RANDBETWEEN($E$14,$F$14)*$J$9)+$J$10+$J$18</f>
        <v>221933.48456383706</v>
      </c>
      <c r="K298" s="37">
        <f ca="1">(RANDBETWEEN($E$14,$F$14)*$K$9)+$K$10+$K$18</f>
        <v>24363.532183028292</v>
      </c>
      <c r="L298" s="37">
        <f ca="1">(RANDBETWEEN($E$14,$F$14)*$L$9)+$L$10+$L$18</f>
        <v>999716.39339203853</v>
      </c>
      <c r="M298" s="37">
        <f ca="1">(RANDBETWEEN($E$14,$F$14)*$M$9)+$M$10+$M$18</f>
        <v>1043245.7659826493</v>
      </c>
      <c r="N298" s="37">
        <f t="shared" ref="N298" ca="1" si="262">NPV($E$23+$F$23,H298:M298)+$H$4</f>
        <v>1369187.0324723539</v>
      </c>
    </row>
    <row r="299" spans="4:17" x14ac:dyDescent="0.25">
      <c r="D299" s="33"/>
      <c r="E299" s="33">
        <v>269</v>
      </c>
      <c r="F299" s="37"/>
      <c r="G299" s="37"/>
      <c r="H299" s="37">
        <f t="shared" si="249"/>
        <v>868800</v>
      </c>
      <c r="I299" s="37">
        <f ca="1">(RANDBETWEEN($E$14,$F$14)*$I$9)+$I$10+$I$18</f>
        <v>-189819.59895313275</v>
      </c>
      <c r="J299" s="37">
        <f ca="1">(RANDBETWEEN($E$14,$F$14)*$J$9)+$J$10+$J$18</f>
        <v>-9238.8910066427197</v>
      </c>
      <c r="K299" s="37">
        <f ca="1">(RANDBETWEEN($E$14,$F$14)*$K$9)+$K$10+$K$18</f>
        <v>24363.532183028292</v>
      </c>
      <c r="L299" s="37">
        <f ca="1">(RANDBETWEEN($E$14,$F$14)*$L$9)+$L$10+$L$18</f>
        <v>999716.39339203853</v>
      </c>
      <c r="M299" s="37">
        <f ca="1">(RANDBETWEEN($E$14,$F$14)*$M$9)+$M$10+$M$18</f>
        <v>1424944.0925515993</v>
      </c>
      <c r="N299" s="37">
        <f t="shared" ref="N299" ca="1" si="263">NPV($E$23+$F$23,H299:M299)+$H$4</f>
        <v>1454320.8108689203</v>
      </c>
      <c r="Q299" s="37"/>
    </row>
    <row r="300" spans="4:17" x14ac:dyDescent="0.25">
      <c r="D300" s="33"/>
      <c r="E300" s="33">
        <v>270</v>
      </c>
      <c r="F300" s="37"/>
      <c r="G300" s="37"/>
      <c r="H300" s="37">
        <f t="shared" si="249"/>
        <v>868800</v>
      </c>
      <c r="I300" s="37">
        <f ca="1">(RANDBETWEEN($E$14,$F$14)*$I$9)+$I$10+$I$18</f>
        <v>-369472.96408399101</v>
      </c>
      <c r="J300" s="37">
        <f ca="1">(RANDBETWEEN($E$14,$F$14)*$J$9)+$J$10+$J$18</f>
        <v>-9238.8910066427197</v>
      </c>
      <c r="K300" s="37">
        <f ca="1">(RANDBETWEEN($E$14,$F$14)*$K$9)+$K$10+$K$18</f>
        <v>260393.25392346107</v>
      </c>
      <c r="L300" s="37">
        <f ca="1">(RANDBETWEEN($E$14,$F$14)*$L$9)+$L$10+$L$18</f>
        <v>999716.39339203853</v>
      </c>
      <c r="M300" s="37">
        <f ca="1">(RANDBETWEEN($E$14,$F$14)*$M$9)+$M$10+$M$18</f>
        <v>1424944.0925515993</v>
      </c>
      <c r="N300" s="37">
        <f t="shared" ref="N300" ca="1" si="264">NPV($E$23+$F$23,H300:M300)+$H$4</f>
        <v>1485552.1489913375</v>
      </c>
    </row>
    <row r="301" spans="4:17" x14ac:dyDescent="0.25">
      <c r="D301" s="33"/>
      <c r="E301" s="33">
        <v>271</v>
      </c>
      <c r="F301" s="37"/>
      <c r="G301" s="37"/>
      <c r="H301" s="37">
        <f t="shared" si="249"/>
        <v>868800</v>
      </c>
      <c r="I301" s="37">
        <f ca="1">(RANDBETWEEN($E$14,$F$14)*$I$9)+$I$10+$I$18</f>
        <v>-189819.59895313275</v>
      </c>
      <c r="J301" s="37">
        <f ca="1">(RANDBETWEEN($E$14,$F$14)*$J$9)+$J$10+$J$18</f>
        <v>221933.48456383706</v>
      </c>
      <c r="K301" s="37">
        <f ca="1">(RANDBETWEEN($E$14,$F$14)*$K$9)+$K$10+$K$18</f>
        <v>24363.532183028292</v>
      </c>
      <c r="L301" s="37">
        <f ca="1">(RANDBETWEEN($E$14,$F$14)*$L$9)+$L$10+$L$18</f>
        <v>999716.39339203853</v>
      </c>
      <c r="M301" s="37">
        <f ca="1">(RANDBETWEEN($E$14,$F$14)*$M$9)+$M$10+$M$18</f>
        <v>1424944.0925515993</v>
      </c>
      <c r="N301" s="37">
        <f t="shared" ref="N301" ca="1" si="265">NPV($E$23+$F$23,H301:M301)+$H$4</f>
        <v>1654016.20062854</v>
      </c>
      <c r="Q301" s="37"/>
    </row>
    <row r="302" spans="4:17" x14ac:dyDescent="0.25">
      <c r="D302" s="33"/>
      <c r="E302" s="33">
        <v>272</v>
      </c>
      <c r="F302" s="37"/>
      <c r="G302" s="37"/>
      <c r="H302" s="37">
        <f t="shared" si="249"/>
        <v>868800</v>
      </c>
      <c r="I302" s="37">
        <f ca="1">(RANDBETWEEN($E$14,$F$14)*$I$9)+$I$10+$I$18</f>
        <v>-189819.59895313275</v>
      </c>
      <c r="J302" s="37">
        <f ca="1">(RANDBETWEEN($E$14,$F$14)*$J$9)+$J$10+$J$18</f>
        <v>221933.48456383706</v>
      </c>
      <c r="K302" s="37">
        <f ca="1">(RANDBETWEEN($E$14,$F$14)*$K$9)+$K$10+$K$18</f>
        <v>260393.25392346107</v>
      </c>
      <c r="L302" s="37">
        <f ca="1">(RANDBETWEEN($E$14,$F$14)*$L$9)+$L$10+$L$18</f>
        <v>671221.40421803342</v>
      </c>
      <c r="M302" s="37">
        <f ca="1">(RANDBETWEEN($E$14,$F$14)*$M$9)+$M$10+$M$18</f>
        <v>1424944.0925515993</v>
      </c>
      <c r="N302" s="37">
        <f t="shared" ref="N302" ca="1" si="266">NPV($E$23+$F$23,H302:M302)+$H$4</f>
        <v>1590814.0172572271</v>
      </c>
    </row>
    <row r="303" spans="4:17" x14ac:dyDescent="0.25">
      <c r="D303" s="33"/>
      <c r="E303" s="33">
        <v>273</v>
      </c>
      <c r="F303" s="37"/>
      <c r="G303" s="37"/>
      <c r="H303" s="37">
        <f t="shared" si="249"/>
        <v>868800</v>
      </c>
      <c r="I303" s="37">
        <f ca="1">(RANDBETWEEN($E$14,$F$14)*$I$9)+$I$10+$I$18</f>
        <v>-189819.59895313275</v>
      </c>
      <c r="J303" s="37">
        <f ca="1">(RANDBETWEEN($E$14,$F$14)*$J$9)+$J$10+$J$18</f>
        <v>-9238.8910066427197</v>
      </c>
      <c r="K303" s="37">
        <f ca="1">(RANDBETWEEN($E$14,$F$14)*$K$9)+$K$10+$K$18</f>
        <v>260393.25392346107</v>
      </c>
      <c r="L303" s="37">
        <f ca="1">(RANDBETWEEN($E$14,$F$14)*$L$9)+$L$10+$L$18</f>
        <v>999716.39339203853</v>
      </c>
      <c r="M303" s="37">
        <f ca="1">(RANDBETWEEN($E$14,$F$14)*$M$9)+$M$10+$M$18</f>
        <v>1424944.0925515993</v>
      </c>
      <c r="N303" s="37">
        <f t="shared" ref="N303" ca="1" si="267">NPV($E$23+$F$23,H303:M303)+$H$4</f>
        <v>1648503.0470692138</v>
      </c>
    </row>
    <row r="304" spans="4:17" x14ac:dyDescent="0.25">
      <c r="D304" s="33"/>
      <c r="E304" s="33">
        <v>274</v>
      </c>
      <c r="F304" s="37"/>
      <c r="G304" s="37"/>
      <c r="H304" s="37">
        <f t="shared" si="249"/>
        <v>868800</v>
      </c>
      <c r="I304" s="37">
        <f ca="1">(RANDBETWEEN($E$14,$F$14)*$I$9)+$I$10+$I$18</f>
        <v>-369472.96408399101</v>
      </c>
      <c r="J304" s="37">
        <f ca="1">(RANDBETWEEN($E$14,$F$14)*$J$9)+$J$10+$J$18</f>
        <v>-9238.8910066427197</v>
      </c>
      <c r="K304" s="37">
        <f ca="1">(RANDBETWEEN($E$14,$F$14)*$K$9)+$K$10+$K$18</f>
        <v>24363.532183028292</v>
      </c>
      <c r="L304" s="37">
        <f ca="1">(RANDBETWEEN($E$14,$F$14)*$L$9)+$L$10+$L$18</f>
        <v>999716.39339203853</v>
      </c>
      <c r="M304" s="37">
        <f ca="1">(RANDBETWEEN($E$14,$F$14)*$M$9)+$M$10+$M$18</f>
        <v>1043245.7659826493</v>
      </c>
      <c r="N304" s="37">
        <f t="shared" ref="N304" ca="1" si="268">NPV($E$23+$F$23,H304:M304)+$H$4</f>
        <v>1006540.7446348586</v>
      </c>
    </row>
    <row r="305" spans="4:17" x14ac:dyDescent="0.25">
      <c r="D305" s="33"/>
      <c r="E305" s="33">
        <v>275</v>
      </c>
      <c r="F305" s="37"/>
      <c r="G305" s="37"/>
      <c r="H305" s="37">
        <f t="shared" si="249"/>
        <v>868800</v>
      </c>
      <c r="I305" s="37">
        <f ca="1">(RANDBETWEEN($E$14,$F$14)*$I$9)+$I$10+$I$18</f>
        <v>-369472.96408399101</v>
      </c>
      <c r="J305" s="37">
        <f ca="1">(RANDBETWEEN($E$14,$F$14)*$J$9)+$J$10+$J$18</f>
        <v>221933.48456383706</v>
      </c>
      <c r="K305" s="37">
        <f ca="1">(RANDBETWEEN($E$14,$F$14)*$K$9)+$K$10+$K$18</f>
        <v>24363.532183028292</v>
      </c>
      <c r="L305" s="37">
        <f ca="1">(RANDBETWEEN($E$14,$F$14)*$L$9)+$L$10+$L$18</f>
        <v>999716.39339203853</v>
      </c>
      <c r="M305" s="37">
        <f ca="1">(RANDBETWEEN($E$14,$F$14)*$M$9)+$M$10+$M$18</f>
        <v>1043245.7659826493</v>
      </c>
      <c r="N305" s="37">
        <f t="shared" ref="N305" ca="1" si="269">NPV($E$23+$F$23,H305:M305)+$H$4</f>
        <v>1206236.1343944785</v>
      </c>
    </row>
    <row r="306" spans="4:17" x14ac:dyDescent="0.25">
      <c r="D306" s="33"/>
      <c r="E306" s="33">
        <v>276</v>
      </c>
      <c r="F306" s="37"/>
      <c r="G306" s="37"/>
      <c r="H306" s="37">
        <f t="shared" si="249"/>
        <v>868800</v>
      </c>
      <c r="I306" s="37">
        <f ca="1">(RANDBETWEEN($E$14,$F$14)*$I$9)+$I$10+$I$18</f>
        <v>-189819.59895313275</v>
      </c>
      <c r="J306" s="37">
        <f ca="1">(RANDBETWEEN($E$14,$F$14)*$J$9)+$J$10+$J$18</f>
        <v>221933.48456383706</v>
      </c>
      <c r="K306" s="37">
        <f ca="1">(RANDBETWEEN($E$14,$F$14)*$K$9)+$K$10+$K$18</f>
        <v>260393.25392346107</v>
      </c>
      <c r="L306" s="37">
        <f ca="1">(RANDBETWEEN($E$14,$F$14)*$L$9)+$L$10+$L$18</f>
        <v>671221.40421803342</v>
      </c>
      <c r="M306" s="37">
        <f ca="1">(RANDBETWEEN($E$14,$F$14)*$M$9)+$M$10+$M$18</f>
        <v>1424944.0925515993</v>
      </c>
      <c r="N306" s="37">
        <f t="shared" ref="N306" ca="1" si="270">NPV($E$23+$F$23,H306:M306)+$H$4</f>
        <v>1590814.0172572271</v>
      </c>
    </row>
    <row r="307" spans="4:17" x14ac:dyDescent="0.25">
      <c r="D307" s="33"/>
      <c r="E307" s="33">
        <v>277</v>
      </c>
      <c r="F307" s="37"/>
      <c r="G307" s="37"/>
      <c r="H307" s="37">
        <f t="shared" si="249"/>
        <v>868800</v>
      </c>
      <c r="I307" s="37">
        <f ca="1">(RANDBETWEEN($E$14,$F$14)*$I$9)+$I$10+$I$18</f>
        <v>-189819.59895313275</v>
      </c>
      <c r="J307" s="37">
        <f ca="1">(RANDBETWEEN($E$14,$F$14)*$J$9)+$J$10+$J$18</f>
        <v>-9238.8910066427197</v>
      </c>
      <c r="K307" s="37">
        <f ca="1">(RANDBETWEEN($E$14,$F$14)*$K$9)+$K$10+$K$18</f>
        <v>260393.25392346107</v>
      </c>
      <c r="L307" s="37">
        <f ca="1">(RANDBETWEEN($E$14,$F$14)*$L$9)+$L$10+$L$18</f>
        <v>671221.40421803342</v>
      </c>
      <c r="M307" s="37">
        <f ca="1">(RANDBETWEEN($E$14,$F$14)*$M$9)+$M$10+$M$18</f>
        <v>1424944.0925515993</v>
      </c>
      <c r="N307" s="37">
        <f t="shared" ref="N307" ca="1" si="271">NPV($E$23+$F$23,H307:M307)+$H$4</f>
        <v>1391118.6274976074</v>
      </c>
    </row>
    <row r="308" spans="4:17" x14ac:dyDescent="0.25">
      <c r="D308" s="33"/>
      <c r="E308" s="33">
        <v>278</v>
      </c>
      <c r="F308" s="37"/>
      <c r="G308" s="37"/>
      <c r="H308" s="37">
        <f t="shared" si="249"/>
        <v>868800</v>
      </c>
      <c r="I308" s="37">
        <f ca="1">(RANDBETWEEN($E$14,$F$14)*$I$9)+$I$10+$I$18</f>
        <v>-189819.59895313275</v>
      </c>
      <c r="J308" s="37">
        <f ca="1">(RANDBETWEEN($E$14,$F$14)*$J$9)+$J$10+$J$18</f>
        <v>221933.48456383706</v>
      </c>
      <c r="K308" s="37">
        <f ca="1">(RANDBETWEEN($E$14,$F$14)*$K$9)+$K$10+$K$18</f>
        <v>24363.532183028292</v>
      </c>
      <c r="L308" s="37">
        <f ca="1">(RANDBETWEEN($E$14,$F$14)*$L$9)+$L$10+$L$18</f>
        <v>671221.40421803342</v>
      </c>
      <c r="M308" s="37">
        <f ca="1">(RANDBETWEEN($E$14,$F$14)*$M$9)+$M$10+$M$18</f>
        <v>1424944.0925515993</v>
      </c>
      <c r="N308" s="37">
        <f t="shared" ref="N308" ca="1" si="272">NPV($E$23+$F$23,H308:M308)+$H$4</f>
        <v>1396631.7810569336</v>
      </c>
    </row>
    <row r="309" spans="4:17" x14ac:dyDescent="0.25">
      <c r="D309" s="33"/>
      <c r="E309" s="33">
        <v>279</v>
      </c>
      <c r="F309" s="37"/>
      <c r="G309" s="37"/>
      <c r="H309" s="37">
        <f t="shared" si="249"/>
        <v>868800</v>
      </c>
      <c r="I309" s="37">
        <f ca="1">(RANDBETWEEN($E$14,$F$14)*$I$9)+$I$10+$I$18</f>
        <v>-189819.59895313275</v>
      </c>
      <c r="J309" s="37">
        <f ca="1">(RANDBETWEEN($E$14,$F$14)*$J$9)+$J$10+$J$18</f>
        <v>-9238.8910066427197</v>
      </c>
      <c r="K309" s="37">
        <f ca="1">(RANDBETWEEN($E$14,$F$14)*$K$9)+$K$10+$K$18</f>
        <v>260393.25392346107</v>
      </c>
      <c r="L309" s="37">
        <f ca="1">(RANDBETWEEN($E$14,$F$14)*$L$9)+$L$10+$L$18</f>
        <v>999716.39339203853</v>
      </c>
      <c r="M309" s="37">
        <f ca="1">(RANDBETWEEN($E$14,$F$14)*$M$9)+$M$10+$M$18</f>
        <v>1424944.0925515993</v>
      </c>
      <c r="N309" s="37">
        <f t="shared" ref="N309" ca="1" si="273">NPV($E$23+$F$23,H309:M309)+$H$4</f>
        <v>1648503.0470692138</v>
      </c>
    </row>
    <row r="310" spans="4:17" x14ac:dyDescent="0.25">
      <c r="D310" s="33"/>
      <c r="E310" s="33">
        <v>280</v>
      </c>
      <c r="F310" s="37"/>
      <c r="G310" s="37"/>
      <c r="H310" s="37">
        <f t="shared" si="249"/>
        <v>868800</v>
      </c>
      <c r="I310" s="37">
        <f ca="1">(RANDBETWEEN($E$14,$F$14)*$I$9)+$I$10+$I$18</f>
        <v>-369472.96408399101</v>
      </c>
      <c r="J310" s="37">
        <f ca="1">(RANDBETWEEN($E$14,$F$14)*$J$9)+$J$10+$J$18</f>
        <v>221933.48456383706</v>
      </c>
      <c r="K310" s="37">
        <f ca="1">(RANDBETWEEN($E$14,$F$14)*$K$9)+$K$10+$K$18</f>
        <v>24363.532183028292</v>
      </c>
      <c r="L310" s="37">
        <f ca="1">(RANDBETWEEN($E$14,$F$14)*$L$9)+$L$10+$L$18</f>
        <v>671221.40421803342</v>
      </c>
      <c r="M310" s="37">
        <f ca="1">(RANDBETWEEN($E$14,$F$14)*$M$9)+$M$10+$M$18</f>
        <v>1424944.0925515993</v>
      </c>
      <c r="N310" s="37">
        <f t="shared" ref="N310" ca="1" si="274">NPV($E$23+$F$23,H310:M310)+$H$4</f>
        <v>1233680.8829790577</v>
      </c>
      <c r="Q310" s="37"/>
    </row>
    <row r="311" spans="4:17" x14ac:dyDescent="0.25">
      <c r="D311" s="33"/>
      <c r="E311" s="33">
        <v>281</v>
      </c>
      <c r="F311" s="37"/>
      <c r="G311" s="37"/>
      <c r="H311" s="37">
        <f t="shared" si="249"/>
        <v>868800</v>
      </c>
      <c r="I311" s="37">
        <f ca="1">(RANDBETWEEN($E$14,$F$14)*$I$9)+$I$10+$I$18</f>
        <v>-189819.59895313275</v>
      </c>
      <c r="J311" s="37">
        <f ca="1">(RANDBETWEEN($E$14,$F$14)*$J$9)+$J$10+$J$18</f>
        <v>221933.48456383706</v>
      </c>
      <c r="K311" s="37">
        <f ca="1">(RANDBETWEEN($E$14,$F$14)*$K$9)+$K$10+$K$18</f>
        <v>24363.532183028292</v>
      </c>
      <c r="L311" s="37">
        <f ca="1">(RANDBETWEEN($E$14,$F$14)*$L$9)+$L$10+$L$18</f>
        <v>671221.40421803342</v>
      </c>
      <c r="M311" s="37">
        <f ca="1">(RANDBETWEEN($E$14,$F$14)*$M$9)+$M$10+$M$18</f>
        <v>1424944.0925515993</v>
      </c>
      <c r="N311" s="37">
        <f t="shared" ref="N311" ca="1" si="275">NPV($E$23+$F$23,H311:M311)+$H$4</f>
        <v>1396631.7810569336</v>
      </c>
    </row>
    <row r="312" spans="4:17" x14ac:dyDescent="0.25">
      <c r="D312" s="33"/>
      <c r="E312" s="33">
        <v>282</v>
      </c>
      <c r="F312" s="37"/>
      <c r="G312" s="37"/>
      <c r="H312" s="37">
        <f t="shared" si="249"/>
        <v>868800</v>
      </c>
      <c r="I312" s="37">
        <f ca="1">(RANDBETWEEN($E$14,$F$14)*$I$9)+$I$10+$I$18</f>
        <v>-189819.59895313275</v>
      </c>
      <c r="J312" s="37">
        <f ca="1">(RANDBETWEEN($E$14,$F$14)*$J$9)+$J$10+$J$18</f>
        <v>-9238.8910066427197</v>
      </c>
      <c r="K312" s="37">
        <f ca="1">(RANDBETWEEN($E$14,$F$14)*$K$9)+$K$10+$K$18</f>
        <v>260393.25392346107</v>
      </c>
      <c r="L312" s="37">
        <f ca="1">(RANDBETWEEN($E$14,$F$14)*$L$9)+$L$10+$L$18</f>
        <v>671221.40421803342</v>
      </c>
      <c r="M312" s="37">
        <f ca="1">(RANDBETWEEN($E$14,$F$14)*$M$9)+$M$10+$M$18</f>
        <v>1043245.7659826493</v>
      </c>
      <c r="N312" s="37">
        <f t="shared" ref="N312" ca="1" si="276">NPV($E$23+$F$23,H312:M312)+$H$4</f>
        <v>1106289.4593414213</v>
      </c>
    </row>
    <row r="313" spans="4:17" x14ac:dyDescent="0.25">
      <c r="D313" s="33"/>
      <c r="E313" s="33">
        <v>283</v>
      </c>
      <c r="F313" s="37"/>
      <c r="G313" s="37"/>
      <c r="H313" s="37">
        <f t="shared" si="249"/>
        <v>868800</v>
      </c>
      <c r="I313" s="37">
        <f ca="1">(RANDBETWEEN($E$14,$F$14)*$I$9)+$I$10+$I$18</f>
        <v>-369472.96408399101</v>
      </c>
      <c r="J313" s="37">
        <f ca="1">(RANDBETWEEN($E$14,$F$14)*$J$9)+$J$10+$J$18</f>
        <v>221933.48456383706</v>
      </c>
      <c r="K313" s="37">
        <f ca="1">(RANDBETWEEN($E$14,$F$14)*$K$9)+$K$10+$K$18</f>
        <v>24363.532183028292</v>
      </c>
      <c r="L313" s="37">
        <f ca="1">(RANDBETWEEN($E$14,$F$14)*$L$9)+$L$10+$L$18</f>
        <v>999716.39339203853</v>
      </c>
      <c r="M313" s="37">
        <f ca="1">(RANDBETWEEN($E$14,$F$14)*$M$9)+$M$10+$M$18</f>
        <v>1043245.7659826493</v>
      </c>
      <c r="N313" s="37">
        <f t="shared" ref="N313" ca="1" si="277">NPV($E$23+$F$23,H313:M313)+$H$4</f>
        <v>1206236.1343944785</v>
      </c>
    </row>
    <row r="314" spans="4:17" x14ac:dyDescent="0.25">
      <c r="D314" s="33"/>
      <c r="E314" s="33">
        <v>284</v>
      </c>
      <c r="F314" s="37"/>
      <c r="G314" s="37"/>
      <c r="H314" s="37">
        <f t="shared" si="249"/>
        <v>868800</v>
      </c>
      <c r="I314" s="37">
        <f ca="1">(RANDBETWEEN($E$14,$F$14)*$I$9)+$I$10+$I$18</f>
        <v>-189819.59895313275</v>
      </c>
      <c r="J314" s="37">
        <f ca="1">(RANDBETWEEN($E$14,$F$14)*$J$9)+$J$10+$J$18</f>
        <v>-9238.8910066427197</v>
      </c>
      <c r="K314" s="37">
        <f ca="1">(RANDBETWEEN($E$14,$F$14)*$K$9)+$K$10+$K$18</f>
        <v>24363.532183028292</v>
      </c>
      <c r="L314" s="37">
        <f ca="1">(RANDBETWEEN($E$14,$F$14)*$L$9)+$L$10+$L$18</f>
        <v>999716.39339203853</v>
      </c>
      <c r="M314" s="37">
        <f ca="1">(RANDBETWEEN($E$14,$F$14)*$M$9)+$M$10+$M$18</f>
        <v>1043245.7659826493</v>
      </c>
      <c r="N314" s="37">
        <f t="shared" ref="N314" ca="1" si="278">NPV($E$23+$F$23,H314:M314)+$H$4</f>
        <v>1169491.6427127346</v>
      </c>
    </row>
    <row r="315" spans="4:17" x14ac:dyDescent="0.25">
      <c r="D315" s="33"/>
      <c r="E315" s="33">
        <v>285</v>
      </c>
      <c r="F315" s="37"/>
      <c r="G315" s="37"/>
      <c r="H315" s="37">
        <f t="shared" si="249"/>
        <v>868800</v>
      </c>
      <c r="I315" s="37">
        <f ca="1">(RANDBETWEEN($E$14,$F$14)*$I$9)+$I$10+$I$18</f>
        <v>-189819.59895313275</v>
      </c>
      <c r="J315" s="37">
        <f ca="1">(RANDBETWEEN($E$14,$F$14)*$J$9)+$J$10+$J$18</f>
        <v>221933.48456383706</v>
      </c>
      <c r="K315" s="37">
        <f ca="1">(RANDBETWEEN($E$14,$F$14)*$K$9)+$K$10+$K$18</f>
        <v>24363.532183028292</v>
      </c>
      <c r="L315" s="37">
        <f ca="1">(RANDBETWEEN($E$14,$F$14)*$L$9)+$L$10+$L$18</f>
        <v>671221.40421803342</v>
      </c>
      <c r="M315" s="37">
        <f ca="1">(RANDBETWEEN($E$14,$F$14)*$M$9)+$M$10+$M$18</f>
        <v>1424944.0925515993</v>
      </c>
      <c r="N315" s="37">
        <f t="shared" ref="N315" ca="1" si="279">NPV($E$23+$F$23,H315:M315)+$H$4</f>
        <v>1396631.7810569336</v>
      </c>
    </row>
    <row r="316" spans="4:17" x14ac:dyDescent="0.25">
      <c r="D316" s="33"/>
      <c r="E316" s="33">
        <v>286</v>
      </c>
      <c r="F316" s="37"/>
      <c r="G316" s="37"/>
      <c r="H316" s="37">
        <f t="shared" si="249"/>
        <v>868800</v>
      </c>
      <c r="I316" s="37">
        <f ca="1">(RANDBETWEEN($E$14,$F$14)*$I$9)+$I$10+$I$18</f>
        <v>-369472.96408399101</v>
      </c>
      <c r="J316" s="37">
        <f ca="1">(RANDBETWEEN($E$14,$F$14)*$J$9)+$J$10+$J$18</f>
        <v>-9238.8910066427197</v>
      </c>
      <c r="K316" s="37">
        <f ca="1">(RANDBETWEEN($E$14,$F$14)*$K$9)+$K$10+$K$18</f>
        <v>260393.25392346107</v>
      </c>
      <c r="L316" s="37">
        <f ca="1">(RANDBETWEEN($E$14,$F$14)*$L$9)+$L$10+$L$18</f>
        <v>999716.39339203853</v>
      </c>
      <c r="M316" s="37">
        <f ca="1">(RANDBETWEEN($E$14,$F$14)*$M$9)+$M$10+$M$18</f>
        <v>1424944.0925515993</v>
      </c>
      <c r="N316" s="37">
        <f t="shared" ref="N316" ca="1" si="280">NPV($E$23+$F$23,H316:M316)+$H$4</f>
        <v>1485552.1489913375</v>
      </c>
    </row>
    <row r="317" spans="4:17" x14ac:dyDescent="0.25">
      <c r="D317" s="33"/>
      <c r="E317" s="33">
        <v>287</v>
      </c>
      <c r="F317" s="37"/>
      <c r="G317" s="37"/>
      <c r="H317" s="37">
        <f t="shared" si="249"/>
        <v>868800</v>
      </c>
      <c r="I317" s="37">
        <f ca="1">(RANDBETWEEN($E$14,$F$14)*$I$9)+$I$10+$I$18</f>
        <v>-369472.96408399101</v>
      </c>
      <c r="J317" s="37">
        <f ca="1">(RANDBETWEEN($E$14,$F$14)*$J$9)+$J$10+$J$18</f>
        <v>221933.48456383706</v>
      </c>
      <c r="K317" s="37">
        <f ca="1">(RANDBETWEEN($E$14,$F$14)*$K$9)+$K$10+$K$18</f>
        <v>24363.532183028292</v>
      </c>
      <c r="L317" s="37">
        <f ca="1">(RANDBETWEEN($E$14,$F$14)*$L$9)+$L$10+$L$18</f>
        <v>671221.40421803342</v>
      </c>
      <c r="M317" s="37">
        <f ca="1">(RANDBETWEEN($E$14,$F$14)*$M$9)+$M$10+$M$18</f>
        <v>1043245.7659826493</v>
      </c>
      <c r="N317" s="37">
        <f t="shared" ref="N317" ca="1" si="281">NPV($E$23+$F$23,H317:M317)+$H$4</f>
        <v>948851.71482287208</v>
      </c>
    </row>
    <row r="318" spans="4:17" x14ac:dyDescent="0.25">
      <c r="D318" s="33"/>
      <c r="E318" s="33">
        <v>288</v>
      </c>
      <c r="F318" s="37"/>
      <c r="G318" s="37"/>
      <c r="H318" s="37">
        <f t="shared" si="249"/>
        <v>868800</v>
      </c>
      <c r="I318" s="37">
        <f ca="1">(RANDBETWEEN($E$14,$F$14)*$I$9)+$I$10+$I$18</f>
        <v>-369472.96408399101</v>
      </c>
      <c r="J318" s="37">
        <f ca="1">(RANDBETWEEN($E$14,$F$14)*$J$9)+$J$10+$J$18</f>
        <v>221933.48456383706</v>
      </c>
      <c r="K318" s="37">
        <f ca="1">(RANDBETWEEN($E$14,$F$14)*$K$9)+$K$10+$K$18</f>
        <v>24363.532183028292</v>
      </c>
      <c r="L318" s="37">
        <f ca="1">(RANDBETWEEN($E$14,$F$14)*$L$9)+$L$10+$L$18</f>
        <v>999716.39339203853</v>
      </c>
      <c r="M318" s="37">
        <f ca="1">(RANDBETWEEN($E$14,$F$14)*$M$9)+$M$10+$M$18</f>
        <v>1043245.7659826493</v>
      </c>
      <c r="N318" s="37">
        <f t="shared" ref="N318" ca="1" si="282">NPV($E$23+$F$23,H318:M318)+$H$4</f>
        <v>1206236.1343944785</v>
      </c>
    </row>
    <row r="319" spans="4:17" x14ac:dyDescent="0.25">
      <c r="D319" s="33"/>
      <c r="E319" s="33">
        <v>289</v>
      </c>
      <c r="F319" s="37"/>
      <c r="G319" s="37"/>
      <c r="H319" s="37">
        <f t="shared" si="249"/>
        <v>868800</v>
      </c>
      <c r="I319" s="37">
        <f ca="1">(RANDBETWEEN($E$14,$F$14)*$I$9)+$I$10+$I$18</f>
        <v>-369472.96408399101</v>
      </c>
      <c r="J319" s="37">
        <f ca="1">(RANDBETWEEN($E$14,$F$14)*$J$9)+$J$10+$J$18</f>
        <v>221933.48456383706</v>
      </c>
      <c r="K319" s="37">
        <f ca="1">(RANDBETWEEN($E$14,$F$14)*$K$9)+$K$10+$K$18</f>
        <v>24363.532183028292</v>
      </c>
      <c r="L319" s="37">
        <f ca="1">(RANDBETWEEN($E$14,$F$14)*$L$9)+$L$10+$L$18</f>
        <v>999716.39339203853</v>
      </c>
      <c r="M319" s="37">
        <f ca="1">(RANDBETWEEN($E$14,$F$14)*$M$9)+$M$10+$M$18</f>
        <v>1424944.0925515993</v>
      </c>
      <c r="N319" s="37">
        <f t="shared" ref="N319" ca="1" si="283">NPV($E$23+$F$23,H319:M319)+$H$4</f>
        <v>1491065.3025506642</v>
      </c>
    </row>
    <row r="320" spans="4:17" x14ac:dyDescent="0.25">
      <c r="D320" s="33"/>
      <c r="E320" s="33">
        <v>290</v>
      </c>
      <c r="F320" s="37"/>
      <c r="G320" s="37"/>
      <c r="H320" s="37">
        <f t="shared" si="249"/>
        <v>868800</v>
      </c>
      <c r="I320" s="37">
        <f ca="1">(RANDBETWEEN($E$14,$F$14)*$I$9)+$I$10+$I$18</f>
        <v>-369472.96408399101</v>
      </c>
      <c r="J320" s="37">
        <f ca="1">(RANDBETWEEN($E$14,$F$14)*$J$9)+$J$10+$J$18</f>
        <v>221933.48456383706</v>
      </c>
      <c r="K320" s="37">
        <f ca="1">(RANDBETWEEN($E$14,$F$14)*$K$9)+$K$10+$K$18</f>
        <v>260393.25392346107</v>
      </c>
      <c r="L320" s="37">
        <f ca="1">(RANDBETWEEN($E$14,$F$14)*$L$9)+$L$10+$L$18</f>
        <v>999716.39339203853</v>
      </c>
      <c r="M320" s="37">
        <f ca="1">(RANDBETWEEN($E$14,$F$14)*$M$9)+$M$10+$M$18</f>
        <v>1424944.0925515993</v>
      </c>
      <c r="N320" s="37">
        <f t="shared" ref="N320" ca="1" si="284">NPV($E$23+$F$23,H320:M320)+$H$4</f>
        <v>1685247.5387509572</v>
      </c>
    </row>
    <row r="321" spans="4:17" x14ac:dyDescent="0.25">
      <c r="D321" s="33"/>
      <c r="E321" s="33">
        <v>291</v>
      </c>
      <c r="F321" s="37"/>
      <c r="G321" s="37"/>
      <c r="H321" s="37">
        <f t="shared" si="249"/>
        <v>868800</v>
      </c>
      <c r="I321" s="37">
        <f ca="1">(RANDBETWEEN($E$14,$F$14)*$I$9)+$I$10+$I$18</f>
        <v>-369472.96408399101</v>
      </c>
      <c r="J321" s="37">
        <f ca="1">(RANDBETWEEN($E$14,$F$14)*$J$9)+$J$10+$J$18</f>
        <v>-9238.8910066427197</v>
      </c>
      <c r="K321" s="37">
        <f ca="1">(RANDBETWEEN($E$14,$F$14)*$K$9)+$K$10+$K$18</f>
        <v>260393.25392346107</v>
      </c>
      <c r="L321" s="37">
        <f ca="1">(RANDBETWEEN($E$14,$F$14)*$L$9)+$L$10+$L$18</f>
        <v>671221.40421803342</v>
      </c>
      <c r="M321" s="37">
        <f ca="1">(RANDBETWEEN($E$14,$F$14)*$M$9)+$M$10+$M$18</f>
        <v>1043245.7659826493</v>
      </c>
      <c r="N321" s="37">
        <f t="shared" ref="N321" ca="1" si="285">NPV($E$23+$F$23,H321:M321)+$H$4</f>
        <v>943338.56126354542</v>
      </c>
      <c r="Q321" s="37"/>
    </row>
    <row r="322" spans="4:17" x14ac:dyDescent="0.25">
      <c r="D322" s="33"/>
      <c r="E322" s="33">
        <v>292</v>
      </c>
      <c r="F322" s="37"/>
      <c r="G322" s="37"/>
      <c r="H322" s="37">
        <f t="shared" si="249"/>
        <v>868800</v>
      </c>
      <c r="I322" s="37">
        <f ca="1">(RANDBETWEEN($E$14,$F$14)*$I$9)+$I$10+$I$18</f>
        <v>-189819.59895313275</v>
      </c>
      <c r="J322" s="37">
        <f ca="1">(RANDBETWEEN($E$14,$F$14)*$J$9)+$J$10+$J$18</f>
        <v>-9238.8910066427197</v>
      </c>
      <c r="K322" s="37">
        <f ca="1">(RANDBETWEEN($E$14,$F$14)*$K$9)+$K$10+$K$18</f>
        <v>260393.25392346107</v>
      </c>
      <c r="L322" s="37">
        <f ca="1">(RANDBETWEEN($E$14,$F$14)*$L$9)+$L$10+$L$18</f>
        <v>999716.39339203853</v>
      </c>
      <c r="M322" s="37">
        <f ca="1">(RANDBETWEEN($E$14,$F$14)*$M$9)+$M$10+$M$18</f>
        <v>1424944.0925515993</v>
      </c>
      <c r="N322" s="37">
        <f t="shared" ref="N322" ca="1" si="286">NPV($E$23+$F$23,H322:M322)+$H$4</f>
        <v>1648503.0470692138</v>
      </c>
    </row>
    <row r="323" spans="4:17" x14ac:dyDescent="0.25">
      <c r="D323" s="33"/>
      <c r="E323" s="33">
        <v>293</v>
      </c>
      <c r="F323" s="37"/>
      <c r="G323" s="37"/>
      <c r="H323" s="37">
        <f t="shared" si="249"/>
        <v>868800</v>
      </c>
      <c r="I323" s="37">
        <f ca="1">(RANDBETWEEN($E$14,$F$14)*$I$9)+$I$10+$I$18</f>
        <v>-369472.96408399101</v>
      </c>
      <c r="J323" s="37">
        <f ca="1">(RANDBETWEEN($E$14,$F$14)*$J$9)+$J$10+$J$18</f>
        <v>221933.48456383706</v>
      </c>
      <c r="K323" s="37">
        <f ca="1">(RANDBETWEEN($E$14,$F$14)*$K$9)+$K$10+$K$18</f>
        <v>260393.25392346107</v>
      </c>
      <c r="L323" s="37">
        <f ca="1">(RANDBETWEEN($E$14,$F$14)*$L$9)+$L$10+$L$18</f>
        <v>671221.40421803342</v>
      </c>
      <c r="M323" s="37">
        <f ca="1">(RANDBETWEEN($E$14,$F$14)*$M$9)+$M$10+$M$18</f>
        <v>1424944.0925515993</v>
      </c>
      <c r="N323" s="37">
        <f t="shared" ref="N323" ca="1" si="287">NPV($E$23+$F$23,H323:M323)+$H$4</f>
        <v>1427863.1191793513</v>
      </c>
    </row>
    <row r="324" spans="4:17" x14ac:dyDescent="0.25">
      <c r="D324" s="33"/>
      <c r="E324" s="33">
        <v>294</v>
      </c>
      <c r="F324" s="37"/>
      <c r="G324" s="37"/>
      <c r="H324" s="37">
        <f t="shared" si="249"/>
        <v>868800</v>
      </c>
      <c r="I324" s="37">
        <f ca="1">(RANDBETWEEN($E$14,$F$14)*$I$9)+$I$10+$I$18</f>
        <v>-369472.96408399101</v>
      </c>
      <c r="J324" s="37">
        <f ca="1">(RANDBETWEEN($E$14,$F$14)*$J$9)+$J$10+$J$18</f>
        <v>-9238.8910066427197</v>
      </c>
      <c r="K324" s="37">
        <f ca="1">(RANDBETWEEN($E$14,$F$14)*$K$9)+$K$10+$K$18</f>
        <v>260393.25392346107</v>
      </c>
      <c r="L324" s="37">
        <f ca="1">(RANDBETWEEN($E$14,$F$14)*$L$9)+$L$10+$L$18</f>
        <v>671221.40421803342</v>
      </c>
      <c r="M324" s="37">
        <f ca="1">(RANDBETWEEN($E$14,$F$14)*$M$9)+$M$10+$M$18</f>
        <v>1424944.0925515993</v>
      </c>
      <c r="N324" s="37">
        <f t="shared" ref="N324" ca="1" si="288">NPV($E$23+$F$23,H324:M324)+$H$4</f>
        <v>1228167.7294197315</v>
      </c>
    </row>
    <row r="325" spans="4:17" x14ac:dyDescent="0.25">
      <c r="D325" s="33"/>
      <c r="E325" s="33">
        <v>295</v>
      </c>
      <c r="F325" s="37"/>
      <c r="G325" s="37"/>
      <c r="H325" s="37">
        <f t="shared" si="249"/>
        <v>868800</v>
      </c>
      <c r="I325" s="37">
        <f ca="1">(RANDBETWEEN($E$14,$F$14)*$I$9)+$I$10+$I$18</f>
        <v>-189819.59895313275</v>
      </c>
      <c r="J325" s="37">
        <f ca="1">(RANDBETWEEN($E$14,$F$14)*$J$9)+$J$10+$J$18</f>
        <v>-9238.8910066427197</v>
      </c>
      <c r="K325" s="37">
        <f ca="1">(RANDBETWEEN($E$14,$F$14)*$K$9)+$K$10+$K$18</f>
        <v>260393.25392346107</v>
      </c>
      <c r="L325" s="37">
        <f ca="1">(RANDBETWEEN($E$14,$F$14)*$L$9)+$L$10+$L$18</f>
        <v>999716.39339203853</v>
      </c>
      <c r="M325" s="37">
        <f ca="1">(RANDBETWEEN($E$14,$F$14)*$M$9)+$M$10+$M$18</f>
        <v>1424944.0925515993</v>
      </c>
      <c r="N325" s="37">
        <f t="shared" ref="N325" ca="1" si="289">NPV($E$23+$F$23,H325:M325)+$H$4</f>
        <v>1648503.0470692138</v>
      </c>
    </row>
    <row r="326" spans="4:17" x14ac:dyDescent="0.25">
      <c r="D326" s="33"/>
      <c r="E326" s="33">
        <v>296</v>
      </c>
      <c r="F326" s="37"/>
      <c r="G326" s="37"/>
      <c r="H326" s="37">
        <f t="shared" si="249"/>
        <v>868800</v>
      </c>
      <c r="I326" s="37">
        <f ca="1">(RANDBETWEEN($E$14,$F$14)*$I$9)+$I$10+$I$18</f>
        <v>-369472.96408399101</v>
      </c>
      <c r="J326" s="37">
        <f ca="1">(RANDBETWEEN($E$14,$F$14)*$J$9)+$J$10+$J$18</f>
        <v>-9238.8910066427197</v>
      </c>
      <c r="K326" s="37">
        <f ca="1">(RANDBETWEEN($E$14,$F$14)*$K$9)+$K$10+$K$18</f>
        <v>24363.532183028292</v>
      </c>
      <c r="L326" s="37">
        <f ca="1">(RANDBETWEEN($E$14,$F$14)*$L$9)+$L$10+$L$18</f>
        <v>999716.39339203853</v>
      </c>
      <c r="M326" s="37">
        <f ca="1">(RANDBETWEEN($E$14,$F$14)*$M$9)+$M$10+$M$18</f>
        <v>1043245.7659826493</v>
      </c>
      <c r="N326" s="37">
        <f t="shared" ref="N326" ca="1" si="290">NPV($E$23+$F$23,H326:M326)+$H$4</f>
        <v>1006540.7446348586</v>
      </c>
    </row>
    <row r="327" spans="4:17" x14ac:dyDescent="0.25">
      <c r="D327" s="33"/>
      <c r="E327" s="33">
        <v>297</v>
      </c>
      <c r="F327" s="37"/>
      <c r="G327" s="37"/>
      <c r="H327" s="37">
        <f t="shared" si="249"/>
        <v>868800</v>
      </c>
      <c r="I327" s="37">
        <f ca="1">(RANDBETWEEN($E$14,$F$14)*$I$9)+$I$10+$I$18</f>
        <v>-189819.59895313275</v>
      </c>
      <c r="J327" s="37">
        <f ca="1">(RANDBETWEEN($E$14,$F$14)*$J$9)+$J$10+$J$18</f>
        <v>-9238.8910066427197</v>
      </c>
      <c r="K327" s="37">
        <f ca="1">(RANDBETWEEN($E$14,$F$14)*$K$9)+$K$10+$K$18</f>
        <v>260393.25392346107</v>
      </c>
      <c r="L327" s="37">
        <f ca="1">(RANDBETWEEN($E$14,$F$14)*$L$9)+$L$10+$L$18</f>
        <v>999716.39339203853</v>
      </c>
      <c r="M327" s="37">
        <f ca="1">(RANDBETWEEN($E$14,$F$14)*$M$9)+$M$10+$M$18</f>
        <v>1424944.0925515993</v>
      </c>
      <c r="N327" s="37">
        <f t="shared" ref="N327" ca="1" si="291">NPV($E$23+$F$23,H327:M327)+$H$4</f>
        <v>1648503.0470692138</v>
      </c>
    </row>
    <row r="328" spans="4:17" x14ac:dyDescent="0.25">
      <c r="D328" s="33"/>
      <c r="E328" s="33">
        <v>298</v>
      </c>
      <c r="F328" s="37"/>
      <c r="G328" s="37"/>
      <c r="H328" s="37">
        <f t="shared" si="249"/>
        <v>868800</v>
      </c>
      <c r="I328" s="37">
        <f ca="1">(RANDBETWEEN($E$14,$F$14)*$I$9)+$I$10+$I$18</f>
        <v>-369472.96408399101</v>
      </c>
      <c r="J328" s="37">
        <f ca="1">(RANDBETWEEN($E$14,$F$14)*$J$9)+$J$10+$J$18</f>
        <v>221933.48456383706</v>
      </c>
      <c r="K328" s="37">
        <f ca="1">(RANDBETWEEN($E$14,$F$14)*$K$9)+$K$10+$K$18</f>
        <v>24363.532183028292</v>
      </c>
      <c r="L328" s="37">
        <f ca="1">(RANDBETWEEN($E$14,$F$14)*$L$9)+$L$10+$L$18</f>
        <v>671221.40421803342</v>
      </c>
      <c r="M328" s="37">
        <f ca="1">(RANDBETWEEN($E$14,$F$14)*$M$9)+$M$10+$M$18</f>
        <v>1424944.0925515993</v>
      </c>
      <c r="N328" s="37">
        <f t="shared" ref="N328" ca="1" si="292">NPV($E$23+$F$23,H328:M328)+$H$4</f>
        <v>1233680.8829790577</v>
      </c>
      <c r="Q328" s="37"/>
    </row>
    <row r="329" spans="4:17" x14ac:dyDescent="0.25">
      <c r="D329" s="33"/>
      <c r="E329" s="33">
        <v>299</v>
      </c>
      <c r="F329" s="37"/>
      <c r="G329" s="37"/>
      <c r="H329" s="37">
        <f t="shared" si="249"/>
        <v>868800</v>
      </c>
      <c r="I329" s="37">
        <f ca="1">(RANDBETWEEN($E$14,$F$14)*$I$9)+$I$10+$I$18</f>
        <v>-189819.59895313275</v>
      </c>
      <c r="J329" s="37">
        <f ca="1">(RANDBETWEEN($E$14,$F$14)*$J$9)+$J$10+$J$18</f>
        <v>-9238.8910066427197</v>
      </c>
      <c r="K329" s="37">
        <f ca="1">(RANDBETWEEN($E$14,$F$14)*$K$9)+$K$10+$K$18</f>
        <v>24363.532183028292</v>
      </c>
      <c r="L329" s="37">
        <f ca="1">(RANDBETWEEN($E$14,$F$14)*$L$9)+$L$10+$L$18</f>
        <v>999716.39339203853</v>
      </c>
      <c r="M329" s="37">
        <f ca="1">(RANDBETWEEN($E$14,$F$14)*$M$9)+$M$10+$M$18</f>
        <v>1043245.7659826493</v>
      </c>
      <c r="N329" s="37">
        <f t="shared" ref="N329" ca="1" si="293">NPV($E$23+$F$23,H329:M329)+$H$4</f>
        <v>1169491.6427127346</v>
      </c>
    </row>
    <row r="330" spans="4:17" x14ac:dyDescent="0.25">
      <c r="D330" s="33"/>
      <c r="E330" s="33">
        <v>300</v>
      </c>
      <c r="F330" s="37"/>
      <c r="G330" s="37"/>
      <c r="H330" s="37">
        <f t="shared" si="249"/>
        <v>868800</v>
      </c>
      <c r="I330" s="37">
        <f ca="1">(RANDBETWEEN($E$14,$F$14)*$I$9)+$I$10+$I$18</f>
        <v>-369472.96408399101</v>
      </c>
      <c r="J330" s="37">
        <f ca="1">(RANDBETWEEN($E$14,$F$14)*$J$9)+$J$10+$J$18</f>
        <v>-9238.8910066427197</v>
      </c>
      <c r="K330" s="37">
        <f ca="1">(RANDBETWEEN($E$14,$F$14)*$K$9)+$K$10+$K$18</f>
        <v>260393.25392346107</v>
      </c>
      <c r="L330" s="37">
        <f ca="1">(RANDBETWEEN($E$14,$F$14)*$L$9)+$L$10+$L$18</f>
        <v>999716.39339203853</v>
      </c>
      <c r="M330" s="37">
        <f ca="1">(RANDBETWEEN($E$14,$F$14)*$M$9)+$M$10+$M$18</f>
        <v>1043245.7659826493</v>
      </c>
      <c r="N330" s="37">
        <f t="shared" ref="N330" ca="1" si="294">NPV($E$23+$F$23,H330:M330)+$H$4</f>
        <v>1200722.9808351514</v>
      </c>
    </row>
    <row r="331" spans="4:17" x14ac:dyDescent="0.25">
      <c r="D331" s="33"/>
      <c r="E331" s="33">
        <v>301</v>
      </c>
      <c r="F331" s="37"/>
      <c r="G331" s="37"/>
      <c r="H331" s="37">
        <f t="shared" si="249"/>
        <v>868800</v>
      </c>
      <c r="I331" s="37">
        <f ca="1">(RANDBETWEEN($E$14,$F$14)*$I$9)+$I$10+$I$18</f>
        <v>-369472.96408399101</v>
      </c>
      <c r="J331" s="37">
        <f ca="1">(RANDBETWEEN($E$14,$F$14)*$J$9)+$J$10+$J$18</f>
        <v>-9238.8910066427197</v>
      </c>
      <c r="K331" s="37">
        <f ca="1">(RANDBETWEEN($E$14,$F$14)*$K$9)+$K$10+$K$18</f>
        <v>24363.532183028292</v>
      </c>
      <c r="L331" s="37">
        <f ca="1">(RANDBETWEEN($E$14,$F$14)*$L$9)+$L$10+$L$18</f>
        <v>671221.40421803342</v>
      </c>
      <c r="M331" s="37">
        <f ca="1">(RANDBETWEEN($E$14,$F$14)*$M$9)+$M$10+$M$18</f>
        <v>1043245.7659826493</v>
      </c>
      <c r="N331" s="37">
        <f t="shared" ref="N331" ca="1" si="295">NPV($E$23+$F$23,H331:M331)+$H$4</f>
        <v>749156.32506325236</v>
      </c>
    </row>
    <row r="332" spans="4:17" x14ac:dyDescent="0.25">
      <c r="D332" s="33"/>
      <c r="E332" s="33">
        <v>302</v>
      </c>
      <c r="F332" s="37"/>
      <c r="G332" s="37"/>
      <c r="H332" s="37">
        <f t="shared" si="249"/>
        <v>868800</v>
      </c>
      <c r="I332" s="37">
        <f ca="1">(RANDBETWEEN($E$14,$F$14)*$I$9)+$I$10+$I$18</f>
        <v>-189819.59895313275</v>
      </c>
      <c r="J332" s="37">
        <f ca="1">(RANDBETWEEN($E$14,$F$14)*$J$9)+$J$10+$J$18</f>
        <v>-9238.8910066427197</v>
      </c>
      <c r="K332" s="37">
        <f ca="1">(RANDBETWEEN($E$14,$F$14)*$K$9)+$K$10+$K$18</f>
        <v>24363.532183028292</v>
      </c>
      <c r="L332" s="37">
        <f ca="1">(RANDBETWEEN($E$14,$F$14)*$L$9)+$L$10+$L$18</f>
        <v>999716.39339203853</v>
      </c>
      <c r="M332" s="37">
        <f ca="1">(RANDBETWEEN($E$14,$F$14)*$M$9)+$M$10+$M$18</f>
        <v>1043245.7659826493</v>
      </c>
      <c r="N332" s="37">
        <f t="shared" ref="N332" ca="1" si="296">NPV($E$23+$F$23,H332:M332)+$H$4</f>
        <v>1169491.6427127346</v>
      </c>
    </row>
    <row r="333" spans="4:17" x14ac:dyDescent="0.25">
      <c r="D333" s="33"/>
      <c r="E333" s="33">
        <v>303</v>
      </c>
      <c r="F333" s="37"/>
      <c r="G333" s="37"/>
      <c r="H333" s="37">
        <f t="shared" si="249"/>
        <v>868800</v>
      </c>
      <c r="I333" s="37">
        <f ca="1">(RANDBETWEEN($E$14,$F$14)*$I$9)+$I$10+$I$18</f>
        <v>-189819.59895313275</v>
      </c>
      <c r="J333" s="37">
        <f ca="1">(RANDBETWEEN($E$14,$F$14)*$J$9)+$J$10+$J$18</f>
        <v>-9238.8910066427197</v>
      </c>
      <c r="K333" s="37">
        <f ca="1">(RANDBETWEEN($E$14,$F$14)*$K$9)+$K$10+$K$18</f>
        <v>260393.25392346107</v>
      </c>
      <c r="L333" s="37">
        <f ca="1">(RANDBETWEEN($E$14,$F$14)*$L$9)+$L$10+$L$18</f>
        <v>999716.39339203853</v>
      </c>
      <c r="M333" s="37">
        <f ca="1">(RANDBETWEEN($E$14,$F$14)*$M$9)+$M$10+$M$18</f>
        <v>1424944.0925515993</v>
      </c>
      <c r="N333" s="37">
        <f t="shared" ref="N333" ca="1" si="297">NPV($E$23+$F$23,H333:M333)+$H$4</f>
        <v>1648503.0470692138</v>
      </c>
    </row>
    <row r="334" spans="4:17" x14ac:dyDescent="0.25">
      <c r="D334" s="33"/>
      <c r="E334" s="33">
        <v>304</v>
      </c>
      <c r="F334" s="37"/>
      <c r="G334" s="37"/>
      <c r="H334" s="37">
        <f t="shared" si="249"/>
        <v>868800</v>
      </c>
      <c r="I334" s="37">
        <f ca="1">(RANDBETWEEN($E$14,$F$14)*$I$9)+$I$10+$I$18</f>
        <v>-369472.96408399101</v>
      </c>
      <c r="J334" s="37">
        <f ca="1">(RANDBETWEEN($E$14,$F$14)*$J$9)+$J$10+$J$18</f>
        <v>-9238.8910066427197</v>
      </c>
      <c r="K334" s="37">
        <f ca="1">(RANDBETWEEN($E$14,$F$14)*$K$9)+$K$10+$K$18</f>
        <v>260393.25392346107</v>
      </c>
      <c r="L334" s="37">
        <f ca="1">(RANDBETWEEN($E$14,$F$14)*$L$9)+$L$10+$L$18</f>
        <v>671221.40421803342</v>
      </c>
      <c r="M334" s="37">
        <f ca="1">(RANDBETWEEN($E$14,$F$14)*$M$9)+$M$10+$M$18</f>
        <v>1424944.0925515993</v>
      </c>
      <c r="N334" s="37">
        <f t="shared" ref="N334" ca="1" si="298">NPV($E$23+$F$23,H334:M334)+$H$4</f>
        <v>1228167.7294197315</v>
      </c>
    </row>
    <row r="335" spans="4:17" x14ac:dyDescent="0.25">
      <c r="D335" s="33"/>
      <c r="E335" s="33">
        <v>305</v>
      </c>
      <c r="F335" s="37"/>
      <c r="G335" s="37"/>
      <c r="H335" s="37">
        <f t="shared" si="249"/>
        <v>868800</v>
      </c>
      <c r="I335" s="37">
        <f ca="1">(RANDBETWEEN($E$14,$F$14)*$I$9)+$I$10+$I$18</f>
        <v>-369472.96408399101</v>
      </c>
      <c r="J335" s="37">
        <f ca="1">(RANDBETWEEN($E$14,$F$14)*$J$9)+$J$10+$J$18</f>
        <v>-9238.8910066427197</v>
      </c>
      <c r="K335" s="37">
        <f ca="1">(RANDBETWEEN($E$14,$F$14)*$K$9)+$K$10+$K$18</f>
        <v>24363.532183028292</v>
      </c>
      <c r="L335" s="37">
        <f ca="1">(RANDBETWEEN($E$14,$F$14)*$L$9)+$L$10+$L$18</f>
        <v>671221.40421803342</v>
      </c>
      <c r="M335" s="37">
        <f ca="1">(RANDBETWEEN($E$14,$F$14)*$M$9)+$M$10+$M$18</f>
        <v>1424944.0925515993</v>
      </c>
      <c r="N335" s="37">
        <f t="shared" ref="N335" ca="1" si="299">NPV($E$23+$F$23,H335:M335)+$H$4</f>
        <v>1033985.4932194382</v>
      </c>
    </row>
    <row r="336" spans="4:17" x14ac:dyDescent="0.25">
      <c r="D336" s="33"/>
      <c r="E336" s="33">
        <v>306</v>
      </c>
      <c r="F336" s="37"/>
      <c r="G336" s="37"/>
      <c r="H336" s="37">
        <f t="shared" si="249"/>
        <v>868800</v>
      </c>
      <c r="I336" s="37">
        <f ca="1">(RANDBETWEEN($E$14,$F$14)*$I$9)+$I$10+$I$18</f>
        <v>-189819.59895313275</v>
      </c>
      <c r="J336" s="37">
        <f ca="1">(RANDBETWEEN($E$14,$F$14)*$J$9)+$J$10+$J$18</f>
        <v>221933.48456383706</v>
      </c>
      <c r="K336" s="37">
        <f ca="1">(RANDBETWEEN($E$14,$F$14)*$K$9)+$K$10+$K$18</f>
        <v>24363.532183028292</v>
      </c>
      <c r="L336" s="37">
        <f ca="1">(RANDBETWEEN($E$14,$F$14)*$L$9)+$L$10+$L$18</f>
        <v>671221.40421803342</v>
      </c>
      <c r="M336" s="37">
        <f ca="1">(RANDBETWEEN($E$14,$F$14)*$M$9)+$M$10+$M$18</f>
        <v>1424944.0925515993</v>
      </c>
      <c r="N336" s="37">
        <f t="shared" ref="N336" ca="1" si="300">NPV($E$23+$F$23,H336:M336)+$H$4</f>
        <v>1396631.7810569336</v>
      </c>
    </row>
    <row r="337" spans="4:17" x14ac:dyDescent="0.25">
      <c r="D337" s="33"/>
      <c r="E337" s="33">
        <v>307</v>
      </c>
      <c r="F337" s="37"/>
      <c r="G337" s="37"/>
      <c r="H337" s="37">
        <f t="shared" si="249"/>
        <v>868800</v>
      </c>
      <c r="I337" s="37">
        <f ca="1">(RANDBETWEEN($E$14,$F$14)*$I$9)+$I$10+$I$18</f>
        <v>-189819.59895313275</v>
      </c>
      <c r="J337" s="37">
        <f ca="1">(RANDBETWEEN($E$14,$F$14)*$J$9)+$J$10+$J$18</f>
        <v>-9238.8910066427197</v>
      </c>
      <c r="K337" s="37">
        <f ca="1">(RANDBETWEEN($E$14,$F$14)*$K$9)+$K$10+$K$18</f>
        <v>24363.532183028292</v>
      </c>
      <c r="L337" s="37">
        <f ca="1">(RANDBETWEEN($E$14,$F$14)*$L$9)+$L$10+$L$18</f>
        <v>671221.40421803342</v>
      </c>
      <c r="M337" s="37">
        <f ca="1">(RANDBETWEEN($E$14,$F$14)*$M$9)+$M$10+$M$18</f>
        <v>1043245.7659826493</v>
      </c>
      <c r="N337" s="37">
        <f t="shared" ref="N337" ca="1" si="301">NPV($E$23+$F$23,H337:M337)+$H$4</f>
        <v>912107.22314112843</v>
      </c>
    </row>
    <row r="338" spans="4:17" x14ac:dyDescent="0.25">
      <c r="D338" s="33"/>
      <c r="E338" s="33">
        <v>308</v>
      </c>
      <c r="F338" s="37"/>
      <c r="G338" s="37"/>
      <c r="H338" s="37">
        <f t="shared" si="249"/>
        <v>868800</v>
      </c>
      <c r="I338" s="37">
        <f ca="1">(RANDBETWEEN($E$14,$F$14)*$I$9)+$I$10+$I$18</f>
        <v>-189819.59895313275</v>
      </c>
      <c r="J338" s="37">
        <f ca="1">(RANDBETWEEN($E$14,$F$14)*$J$9)+$J$10+$J$18</f>
        <v>-9238.8910066427197</v>
      </c>
      <c r="K338" s="37">
        <f ca="1">(RANDBETWEEN($E$14,$F$14)*$K$9)+$K$10+$K$18</f>
        <v>24363.532183028292</v>
      </c>
      <c r="L338" s="37">
        <f ca="1">(RANDBETWEEN($E$14,$F$14)*$L$9)+$L$10+$L$18</f>
        <v>671221.40421803342</v>
      </c>
      <c r="M338" s="37">
        <f ca="1">(RANDBETWEEN($E$14,$F$14)*$M$9)+$M$10+$M$18</f>
        <v>1043245.7659826493</v>
      </c>
      <c r="N338" s="37">
        <f t="shared" ref="N338" ca="1" si="302">NPV($E$23+$F$23,H338:M338)+$H$4</f>
        <v>912107.22314112843</v>
      </c>
    </row>
    <row r="339" spans="4:17" x14ac:dyDescent="0.25">
      <c r="D339" s="33"/>
      <c r="E339" s="33">
        <v>309</v>
      </c>
      <c r="F339" s="37"/>
      <c r="G339" s="37"/>
      <c r="H339" s="37">
        <f t="shared" si="249"/>
        <v>868800</v>
      </c>
      <c r="I339" s="37">
        <f ca="1">(RANDBETWEEN($E$14,$F$14)*$I$9)+$I$10+$I$18</f>
        <v>-369472.96408399101</v>
      </c>
      <c r="J339" s="37">
        <f ca="1">(RANDBETWEEN($E$14,$F$14)*$J$9)+$J$10+$J$18</f>
        <v>221933.48456383706</v>
      </c>
      <c r="K339" s="37">
        <f ca="1">(RANDBETWEEN($E$14,$F$14)*$K$9)+$K$10+$K$18</f>
        <v>24363.532183028292</v>
      </c>
      <c r="L339" s="37">
        <f ca="1">(RANDBETWEEN($E$14,$F$14)*$L$9)+$L$10+$L$18</f>
        <v>671221.40421803342</v>
      </c>
      <c r="M339" s="37">
        <f ca="1">(RANDBETWEEN($E$14,$F$14)*$M$9)+$M$10+$M$18</f>
        <v>1043245.7659826493</v>
      </c>
      <c r="N339" s="37">
        <f t="shared" ref="N339" ca="1" si="303">NPV($E$23+$F$23,H339:M339)+$H$4</f>
        <v>948851.71482287208</v>
      </c>
    </row>
    <row r="340" spans="4:17" x14ac:dyDescent="0.25">
      <c r="D340" s="33"/>
      <c r="E340" s="33">
        <v>310</v>
      </c>
      <c r="F340" s="37"/>
      <c r="G340" s="37"/>
      <c r="H340" s="37">
        <f t="shared" si="249"/>
        <v>868800</v>
      </c>
      <c r="I340" s="37">
        <f ca="1">(RANDBETWEEN($E$14,$F$14)*$I$9)+$I$10+$I$18</f>
        <v>-369472.96408399101</v>
      </c>
      <c r="J340" s="37">
        <f ca="1">(RANDBETWEEN($E$14,$F$14)*$J$9)+$J$10+$J$18</f>
        <v>221933.48456383706</v>
      </c>
      <c r="K340" s="37">
        <f ca="1">(RANDBETWEEN($E$14,$F$14)*$K$9)+$K$10+$K$18</f>
        <v>260393.25392346107</v>
      </c>
      <c r="L340" s="37">
        <f ca="1">(RANDBETWEEN($E$14,$F$14)*$L$9)+$L$10+$L$18</f>
        <v>671221.40421803342</v>
      </c>
      <c r="M340" s="37">
        <f ca="1">(RANDBETWEEN($E$14,$F$14)*$M$9)+$M$10+$M$18</f>
        <v>1043245.7659826493</v>
      </c>
      <c r="N340" s="37">
        <f t="shared" ref="N340" ca="1" si="304">NPV($E$23+$F$23,H340:M340)+$H$4</f>
        <v>1143033.9510231656</v>
      </c>
    </row>
    <row r="341" spans="4:17" x14ac:dyDescent="0.25">
      <c r="D341" s="33"/>
      <c r="E341" s="33">
        <v>311</v>
      </c>
      <c r="F341" s="37"/>
      <c r="G341" s="37"/>
      <c r="H341" s="37">
        <f t="shared" si="249"/>
        <v>868800</v>
      </c>
      <c r="I341" s="37">
        <f ca="1">(RANDBETWEEN($E$14,$F$14)*$I$9)+$I$10+$I$18</f>
        <v>-189819.59895313275</v>
      </c>
      <c r="J341" s="37">
        <f ca="1">(RANDBETWEEN($E$14,$F$14)*$J$9)+$J$10+$J$18</f>
        <v>-9238.8910066427197</v>
      </c>
      <c r="K341" s="37">
        <f ca="1">(RANDBETWEEN($E$14,$F$14)*$K$9)+$K$10+$K$18</f>
        <v>260393.25392346107</v>
      </c>
      <c r="L341" s="37">
        <f ca="1">(RANDBETWEEN($E$14,$F$14)*$L$9)+$L$10+$L$18</f>
        <v>999716.39339203853</v>
      </c>
      <c r="M341" s="37">
        <f ca="1">(RANDBETWEEN($E$14,$F$14)*$M$9)+$M$10+$M$18</f>
        <v>1424944.0925515993</v>
      </c>
      <c r="N341" s="37">
        <f t="shared" ref="N341" ca="1" si="305">NPV($E$23+$F$23,H341:M341)+$H$4</f>
        <v>1648503.0470692138</v>
      </c>
      <c r="Q341" s="37"/>
    </row>
    <row r="342" spans="4:17" x14ac:dyDescent="0.25">
      <c r="D342" s="33"/>
      <c r="E342" s="33">
        <v>312</v>
      </c>
      <c r="F342" s="37"/>
      <c r="G342" s="37"/>
      <c r="H342" s="37">
        <f t="shared" si="249"/>
        <v>868800</v>
      </c>
      <c r="I342" s="37">
        <f ca="1">(RANDBETWEEN($E$14,$F$14)*$I$9)+$I$10+$I$18</f>
        <v>-369472.96408399101</v>
      </c>
      <c r="J342" s="37">
        <f ca="1">(RANDBETWEEN($E$14,$F$14)*$J$9)+$J$10+$J$18</f>
        <v>221933.48456383706</v>
      </c>
      <c r="K342" s="37">
        <f ca="1">(RANDBETWEEN($E$14,$F$14)*$K$9)+$K$10+$K$18</f>
        <v>260393.25392346107</v>
      </c>
      <c r="L342" s="37">
        <f ca="1">(RANDBETWEEN($E$14,$F$14)*$L$9)+$L$10+$L$18</f>
        <v>671221.40421803342</v>
      </c>
      <c r="M342" s="37">
        <f ca="1">(RANDBETWEEN($E$14,$F$14)*$M$9)+$M$10+$M$18</f>
        <v>1424944.0925515993</v>
      </c>
      <c r="N342" s="37">
        <f t="shared" ref="N342" ca="1" si="306">NPV($E$23+$F$23,H342:M342)+$H$4</f>
        <v>1427863.1191793513</v>
      </c>
    </row>
    <row r="343" spans="4:17" x14ac:dyDescent="0.25">
      <c r="D343" s="33"/>
      <c r="E343" s="33">
        <v>313</v>
      </c>
      <c r="F343" s="37"/>
      <c r="G343" s="37"/>
      <c r="H343" s="37">
        <f t="shared" si="249"/>
        <v>868800</v>
      </c>
      <c r="I343" s="37">
        <f ca="1">(RANDBETWEEN($E$14,$F$14)*$I$9)+$I$10+$I$18</f>
        <v>-369472.96408399101</v>
      </c>
      <c r="J343" s="37">
        <f ca="1">(RANDBETWEEN($E$14,$F$14)*$J$9)+$J$10+$J$18</f>
        <v>221933.48456383706</v>
      </c>
      <c r="K343" s="37">
        <f ca="1">(RANDBETWEEN($E$14,$F$14)*$K$9)+$K$10+$K$18</f>
        <v>24363.532183028292</v>
      </c>
      <c r="L343" s="37">
        <f ca="1">(RANDBETWEEN($E$14,$F$14)*$L$9)+$L$10+$L$18</f>
        <v>671221.40421803342</v>
      </c>
      <c r="M343" s="37">
        <f ca="1">(RANDBETWEEN($E$14,$F$14)*$M$9)+$M$10+$M$18</f>
        <v>1043245.7659826493</v>
      </c>
      <c r="N343" s="37">
        <f t="shared" ref="N343" ca="1" si="307">NPV($E$23+$F$23,H343:M343)+$H$4</f>
        <v>948851.71482287208</v>
      </c>
    </row>
    <row r="344" spans="4:17" x14ac:dyDescent="0.25">
      <c r="D344" s="33"/>
      <c r="E344" s="33">
        <v>314</v>
      </c>
      <c r="F344" s="37"/>
      <c r="G344" s="37"/>
      <c r="H344" s="37">
        <f t="shared" si="249"/>
        <v>868800</v>
      </c>
      <c r="I344" s="37">
        <f ca="1">(RANDBETWEEN($E$14,$F$14)*$I$9)+$I$10+$I$18</f>
        <v>-369472.96408399101</v>
      </c>
      <c r="J344" s="37">
        <f ca="1">(RANDBETWEEN($E$14,$F$14)*$J$9)+$J$10+$J$18</f>
        <v>-9238.8910066427197</v>
      </c>
      <c r="K344" s="37">
        <f ca="1">(RANDBETWEEN($E$14,$F$14)*$K$9)+$K$10+$K$18</f>
        <v>24363.532183028292</v>
      </c>
      <c r="L344" s="37">
        <f ca="1">(RANDBETWEEN($E$14,$F$14)*$L$9)+$L$10+$L$18</f>
        <v>671221.40421803342</v>
      </c>
      <c r="M344" s="37">
        <f ca="1">(RANDBETWEEN($E$14,$F$14)*$M$9)+$M$10+$M$18</f>
        <v>1043245.7659826493</v>
      </c>
      <c r="N344" s="37">
        <f t="shared" ref="N344" ca="1" si="308">NPV($E$23+$F$23,H344:M344)+$H$4</f>
        <v>749156.32506325236</v>
      </c>
    </row>
    <row r="345" spans="4:17" x14ac:dyDescent="0.25">
      <c r="D345" s="33"/>
      <c r="E345" s="33">
        <v>315</v>
      </c>
      <c r="F345" s="37"/>
      <c r="G345" s="37"/>
      <c r="H345" s="37">
        <f t="shared" si="249"/>
        <v>868800</v>
      </c>
      <c r="I345" s="37">
        <f ca="1">(RANDBETWEEN($E$14,$F$14)*$I$9)+$I$10+$I$18</f>
        <v>-189819.59895313275</v>
      </c>
      <c r="J345" s="37">
        <f ca="1">(RANDBETWEEN($E$14,$F$14)*$J$9)+$J$10+$J$18</f>
        <v>221933.48456383706</v>
      </c>
      <c r="K345" s="37">
        <f ca="1">(RANDBETWEEN($E$14,$F$14)*$K$9)+$K$10+$K$18</f>
        <v>24363.532183028292</v>
      </c>
      <c r="L345" s="37">
        <f ca="1">(RANDBETWEEN($E$14,$F$14)*$L$9)+$L$10+$L$18</f>
        <v>671221.40421803342</v>
      </c>
      <c r="M345" s="37">
        <f ca="1">(RANDBETWEEN($E$14,$F$14)*$M$9)+$M$10+$M$18</f>
        <v>1424944.0925515993</v>
      </c>
      <c r="N345" s="37">
        <f t="shared" ref="N345" ca="1" si="309">NPV($E$23+$F$23,H345:M345)+$H$4</f>
        <v>1396631.7810569336</v>
      </c>
    </row>
    <row r="346" spans="4:17" x14ac:dyDescent="0.25">
      <c r="D346" s="33"/>
      <c r="E346" s="33">
        <v>316</v>
      </c>
      <c r="F346" s="37"/>
      <c r="G346" s="37"/>
      <c r="H346" s="37">
        <f t="shared" si="249"/>
        <v>868800</v>
      </c>
      <c r="I346" s="37">
        <f ca="1">(RANDBETWEEN($E$14,$F$14)*$I$9)+$I$10+$I$18</f>
        <v>-189819.59895313275</v>
      </c>
      <c r="J346" s="37">
        <f ca="1">(RANDBETWEEN($E$14,$F$14)*$J$9)+$J$10+$J$18</f>
        <v>221933.48456383706</v>
      </c>
      <c r="K346" s="37">
        <f ca="1">(RANDBETWEEN($E$14,$F$14)*$K$9)+$K$10+$K$18</f>
        <v>24363.532183028292</v>
      </c>
      <c r="L346" s="37">
        <f ca="1">(RANDBETWEEN($E$14,$F$14)*$L$9)+$L$10+$L$18</f>
        <v>671221.40421803342</v>
      </c>
      <c r="M346" s="37">
        <f ca="1">(RANDBETWEEN($E$14,$F$14)*$M$9)+$M$10+$M$18</f>
        <v>1043245.7659826493</v>
      </c>
      <c r="N346" s="37">
        <f t="shared" ref="N346" ca="1" si="310">NPV($E$23+$F$23,H346:M346)+$H$4</f>
        <v>1111802.6129007479</v>
      </c>
    </row>
    <row r="347" spans="4:17" x14ac:dyDescent="0.25">
      <c r="D347" s="33"/>
      <c r="E347" s="33">
        <v>317</v>
      </c>
      <c r="F347" s="37"/>
      <c r="G347" s="37"/>
      <c r="H347" s="37">
        <f t="shared" si="249"/>
        <v>868800</v>
      </c>
      <c r="I347" s="37">
        <f ca="1">(RANDBETWEEN($E$14,$F$14)*$I$9)+$I$10+$I$18</f>
        <v>-369472.96408399101</v>
      </c>
      <c r="J347" s="37">
        <f ca="1">(RANDBETWEEN($E$14,$F$14)*$J$9)+$J$10+$J$18</f>
        <v>-9238.8910066427197</v>
      </c>
      <c r="K347" s="37">
        <f ca="1">(RANDBETWEEN($E$14,$F$14)*$K$9)+$K$10+$K$18</f>
        <v>260393.25392346107</v>
      </c>
      <c r="L347" s="37">
        <f ca="1">(RANDBETWEEN($E$14,$F$14)*$L$9)+$L$10+$L$18</f>
        <v>999716.39339203853</v>
      </c>
      <c r="M347" s="37">
        <f ca="1">(RANDBETWEEN($E$14,$F$14)*$M$9)+$M$10+$M$18</f>
        <v>1424944.0925515993</v>
      </c>
      <c r="N347" s="37">
        <f t="shared" ref="N347" ca="1" si="311">NPV($E$23+$F$23,H347:M347)+$H$4</f>
        <v>1485552.1489913375</v>
      </c>
    </row>
    <row r="348" spans="4:17" x14ac:dyDescent="0.25">
      <c r="D348" s="33"/>
      <c r="E348" s="33">
        <v>318</v>
      </c>
      <c r="F348" s="37"/>
      <c r="G348" s="37"/>
      <c r="H348" s="37">
        <f t="shared" si="249"/>
        <v>868800</v>
      </c>
      <c r="I348" s="37">
        <f ca="1">(RANDBETWEEN($E$14,$F$14)*$I$9)+$I$10+$I$18</f>
        <v>-189819.59895313275</v>
      </c>
      <c r="J348" s="37">
        <f ca="1">(RANDBETWEEN($E$14,$F$14)*$J$9)+$J$10+$J$18</f>
        <v>221933.48456383706</v>
      </c>
      <c r="K348" s="37">
        <f ca="1">(RANDBETWEEN($E$14,$F$14)*$K$9)+$K$10+$K$18</f>
        <v>24363.532183028292</v>
      </c>
      <c r="L348" s="37">
        <f ca="1">(RANDBETWEEN($E$14,$F$14)*$L$9)+$L$10+$L$18</f>
        <v>671221.40421803342</v>
      </c>
      <c r="M348" s="37">
        <f ca="1">(RANDBETWEEN($E$14,$F$14)*$M$9)+$M$10+$M$18</f>
        <v>1424944.0925515993</v>
      </c>
      <c r="N348" s="37">
        <f t="shared" ref="N348" ca="1" si="312">NPV($E$23+$F$23,H348:M348)+$H$4</f>
        <v>1396631.7810569336</v>
      </c>
    </row>
    <row r="349" spans="4:17" x14ac:dyDescent="0.25">
      <c r="D349" s="33"/>
      <c r="E349" s="33">
        <v>319</v>
      </c>
      <c r="F349" s="37"/>
      <c r="G349" s="37"/>
      <c r="H349" s="37">
        <f t="shared" si="249"/>
        <v>868800</v>
      </c>
      <c r="I349" s="37">
        <f ca="1">(RANDBETWEEN($E$14,$F$14)*$I$9)+$I$10+$I$18</f>
        <v>-369472.96408399101</v>
      </c>
      <c r="J349" s="37">
        <f ca="1">(RANDBETWEEN($E$14,$F$14)*$J$9)+$J$10+$J$18</f>
        <v>221933.48456383706</v>
      </c>
      <c r="K349" s="37">
        <f ca="1">(RANDBETWEEN($E$14,$F$14)*$K$9)+$K$10+$K$18</f>
        <v>260393.25392346107</v>
      </c>
      <c r="L349" s="37">
        <f ca="1">(RANDBETWEEN($E$14,$F$14)*$L$9)+$L$10+$L$18</f>
        <v>999716.39339203853</v>
      </c>
      <c r="M349" s="37">
        <f ca="1">(RANDBETWEEN($E$14,$F$14)*$M$9)+$M$10+$M$18</f>
        <v>1043245.7659826493</v>
      </c>
      <c r="N349" s="37">
        <f t="shared" ref="N349" ca="1" si="313">NPV($E$23+$F$23,H349:M349)+$H$4</f>
        <v>1400418.3705947716</v>
      </c>
    </row>
    <row r="350" spans="4:17" x14ac:dyDescent="0.25">
      <c r="D350" s="33"/>
      <c r="E350" s="33">
        <v>320</v>
      </c>
      <c r="F350" s="37"/>
      <c r="G350" s="37"/>
      <c r="H350" s="37">
        <f t="shared" si="249"/>
        <v>868800</v>
      </c>
      <c r="I350" s="37">
        <f ca="1">(RANDBETWEEN($E$14,$F$14)*$I$9)+$I$10+$I$18</f>
        <v>-369472.96408399101</v>
      </c>
      <c r="J350" s="37">
        <f ca="1">(RANDBETWEEN($E$14,$F$14)*$J$9)+$J$10+$J$18</f>
        <v>-9238.8910066427197</v>
      </c>
      <c r="K350" s="37">
        <f ca="1">(RANDBETWEEN($E$14,$F$14)*$K$9)+$K$10+$K$18</f>
        <v>24363.532183028292</v>
      </c>
      <c r="L350" s="37">
        <f ca="1">(RANDBETWEEN($E$14,$F$14)*$L$9)+$L$10+$L$18</f>
        <v>999716.39339203853</v>
      </c>
      <c r="M350" s="37">
        <f ca="1">(RANDBETWEEN($E$14,$F$14)*$M$9)+$M$10+$M$18</f>
        <v>1043245.7659826493</v>
      </c>
      <c r="N350" s="37">
        <f t="shared" ref="N350" ca="1" si="314">NPV($E$23+$F$23,H350:M350)+$H$4</f>
        <v>1006540.7446348586</v>
      </c>
      <c r="Q350" s="37"/>
    </row>
    <row r="351" spans="4:17" x14ac:dyDescent="0.25">
      <c r="D351" s="33"/>
      <c r="E351" s="33">
        <v>321</v>
      </c>
      <c r="F351" s="37"/>
      <c r="G351" s="37"/>
      <c r="H351" s="37">
        <f t="shared" si="249"/>
        <v>868800</v>
      </c>
      <c r="I351" s="37">
        <f ca="1">(RANDBETWEEN($E$14,$F$14)*$I$9)+$I$10+$I$18</f>
        <v>-369472.96408399101</v>
      </c>
      <c r="J351" s="37">
        <f ca="1">(RANDBETWEEN($E$14,$F$14)*$J$9)+$J$10+$J$18</f>
        <v>221933.48456383706</v>
      </c>
      <c r="K351" s="37">
        <f ca="1">(RANDBETWEEN($E$14,$F$14)*$K$9)+$K$10+$K$18</f>
        <v>24363.532183028292</v>
      </c>
      <c r="L351" s="37">
        <f ca="1">(RANDBETWEEN($E$14,$F$14)*$L$9)+$L$10+$L$18</f>
        <v>999716.39339203853</v>
      </c>
      <c r="M351" s="37">
        <f ca="1">(RANDBETWEEN($E$14,$F$14)*$M$9)+$M$10+$M$18</f>
        <v>1424944.0925515993</v>
      </c>
      <c r="N351" s="37">
        <f t="shared" ref="N351" ca="1" si="315">NPV($E$23+$F$23,H351:M351)+$H$4</f>
        <v>1491065.3025506642</v>
      </c>
    </row>
    <row r="352" spans="4:17" x14ac:dyDescent="0.25">
      <c r="D352" s="33"/>
      <c r="E352" s="33">
        <v>322</v>
      </c>
      <c r="F352" s="37"/>
      <c r="G352" s="37"/>
      <c r="H352" s="37">
        <f t="shared" si="249"/>
        <v>868800</v>
      </c>
      <c r="I352" s="37">
        <f ca="1">(RANDBETWEEN($E$14,$F$14)*$I$9)+$I$10+$I$18</f>
        <v>-369472.96408399101</v>
      </c>
      <c r="J352" s="37">
        <f ca="1">(RANDBETWEEN($E$14,$F$14)*$J$9)+$J$10+$J$18</f>
        <v>221933.48456383706</v>
      </c>
      <c r="K352" s="37">
        <f ca="1">(RANDBETWEEN($E$14,$F$14)*$K$9)+$K$10+$K$18</f>
        <v>24363.532183028292</v>
      </c>
      <c r="L352" s="37">
        <f ca="1">(RANDBETWEEN($E$14,$F$14)*$L$9)+$L$10+$L$18</f>
        <v>999716.39339203853</v>
      </c>
      <c r="M352" s="37">
        <f ca="1">(RANDBETWEEN($E$14,$F$14)*$M$9)+$M$10+$M$18</f>
        <v>1043245.7659826493</v>
      </c>
      <c r="N352" s="37">
        <f t="shared" ref="N352" ca="1" si="316">NPV($E$23+$F$23,H352:M352)+$H$4</f>
        <v>1206236.1343944785</v>
      </c>
    </row>
    <row r="353" spans="4:14" x14ac:dyDescent="0.25">
      <c r="D353" s="33"/>
      <c r="E353" s="33">
        <v>323</v>
      </c>
      <c r="F353" s="37"/>
      <c r="G353" s="37"/>
      <c r="H353" s="37">
        <f t="shared" si="249"/>
        <v>868800</v>
      </c>
      <c r="I353" s="37">
        <f ca="1">(RANDBETWEEN($E$14,$F$14)*$I$9)+$I$10+$I$18</f>
        <v>-369472.96408399101</v>
      </c>
      <c r="J353" s="37">
        <f ca="1">(RANDBETWEEN($E$14,$F$14)*$J$9)+$J$10+$J$18</f>
        <v>-9238.8910066427197</v>
      </c>
      <c r="K353" s="37">
        <f ca="1">(RANDBETWEEN($E$14,$F$14)*$K$9)+$K$10+$K$18</f>
        <v>24363.532183028292</v>
      </c>
      <c r="L353" s="37">
        <f ca="1">(RANDBETWEEN($E$14,$F$14)*$L$9)+$L$10+$L$18</f>
        <v>671221.40421803342</v>
      </c>
      <c r="M353" s="37">
        <f ca="1">(RANDBETWEEN($E$14,$F$14)*$M$9)+$M$10+$M$18</f>
        <v>1043245.7659826493</v>
      </c>
      <c r="N353" s="37">
        <f t="shared" ref="N353" ca="1" si="317">NPV($E$23+$F$23,H353:M353)+$H$4</f>
        <v>749156.32506325236</v>
      </c>
    </row>
    <row r="354" spans="4:14" x14ac:dyDescent="0.25">
      <c r="D354" s="33"/>
      <c r="E354" s="33">
        <v>324</v>
      </c>
      <c r="F354" s="37"/>
      <c r="G354" s="37"/>
      <c r="H354" s="37">
        <f t="shared" si="249"/>
        <v>868800</v>
      </c>
      <c r="I354" s="37">
        <f ca="1">(RANDBETWEEN($E$14,$F$14)*$I$9)+$I$10+$I$18</f>
        <v>-369472.96408399101</v>
      </c>
      <c r="J354" s="37">
        <f ca="1">(RANDBETWEEN($E$14,$F$14)*$J$9)+$J$10+$J$18</f>
        <v>-9238.8910066427197</v>
      </c>
      <c r="K354" s="37">
        <f ca="1">(RANDBETWEEN($E$14,$F$14)*$K$9)+$K$10+$K$18</f>
        <v>24363.532183028292</v>
      </c>
      <c r="L354" s="37">
        <f ca="1">(RANDBETWEEN($E$14,$F$14)*$L$9)+$L$10+$L$18</f>
        <v>999716.39339203853</v>
      </c>
      <c r="M354" s="37">
        <f ca="1">(RANDBETWEEN($E$14,$F$14)*$M$9)+$M$10+$M$18</f>
        <v>1043245.7659826493</v>
      </c>
      <c r="N354" s="37">
        <f t="shared" ref="N354" ca="1" si="318">NPV($E$23+$F$23,H354:M354)+$H$4</f>
        <v>1006540.7446348586</v>
      </c>
    </row>
    <row r="355" spans="4:14" x14ac:dyDescent="0.25">
      <c r="D355" s="33"/>
      <c r="E355" s="33">
        <v>325</v>
      </c>
      <c r="F355" s="37"/>
      <c r="G355" s="37"/>
      <c r="H355" s="37">
        <f t="shared" si="249"/>
        <v>868800</v>
      </c>
      <c r="I355" s="37">
        <f ca="1">(RANDBETWEEN($E$14,$F$14)*$I$9)+$I$10+$I$18</f>
        <v>-369472.96408399101</v>
      </c>
      <c r="J355" s="37">
        <f ca="1">(RANDBETWEEN($E$14,$F$14)*$J$9)+$J$10+$J$18</f>
        <v>-9238.8910066427197</v>
      </c>
      <c r="K355" s="37">
        <f ca="1">(RANDBETWEEN($E$14,$F$14)*$K$9)+$K$10+$K$18</f>
        <v>260393.25392346107</v>
      </c>
      <c r="L355" s="37">
        <f ca="1">(RANDBETWEEN($E$14,$F$14)*$L$9)+$L$10+$L$18</f>
        <v>671221.40421803342</v>
      </c>
      <c r="M355" s="37">
        <f ca="1">(RANDBETWEEN($E$14,$F$14)*$M$9)+$M$10+$M$18</f>
        <v>1424944.0925515993</v>
      </c>
      <c r="N355" s="37">
        <f t="shared" ref="N355" ca="1" si="319">NPV($E$23+$F$23,H355:M355)+$H$4</f>
        <v>1228167.7294197315</v>
      </c>
    </row>
    <row r="356" spans="4:14" x14ac:dyDescent="0.25">
      <c r="D356" s="33"/>
      <c r="E356" s="33">
        <v>326</v>
      </c>
      <c r="F356" s="37"/>
      <c r="G356" s="37"/>
      <c r="H356" s="37">
        <f t="shared" si="249"/>
        <v>868800</v>
      </c>
      <c r="I356" s="37">
        <f ca="1">(RANDBETWEEN($E$14,$F$14)*$I$9)+$I$10+$I$18</f>
        <v>-369472.96408399101</v>
      </c>
      <c r="J356" s="37">
        <f ca="1">(RANDBETWEEN($E$14,$F$14)*$J$9)+$J$10+$J$18</f>
        <v>221933.48456383706</v>
      </c>
      <c r="K356" s="37">
        <f ca="1">(RANDBETWEEN($E$14,$F$14)*$K$9)+$K$10+$K$18</f>
        <v>260393.25392346107</v>
      </c>
      <c r="L356" s="37">
        <f ca="1">(RANDBETWEEN($E$14,$F$14)*$L$9)+$L$10+$L$18</f>
        <v>999716.39339203853</v>
      </c>
      <c r="M356" s="37">
        <f ca="1">(RANDBETWEEN($E$14,$F$14)*$M$9)+$M$10+$M$18</f>
        <v>1424944.0925515993</v>
      </c>
      <c r="N356" s="37">
        <f t="shared" ref="N356" ca="1" si="320">NPV($E$23+$F$23,H356:M356)+$H$4</f>
        <v>1685247.5387509572</v>
      </c>
    </row>
    <row r="357" spans="4:14" x14ac:dyDescent="0.25">
      <c r="D357" s="33"/>
      <c r="E357" s="33">
        <v>327</v>
      </c>
      <c r="F357" s="37"/>
      <c r="G357" s="37"/>
      <c r="H357" s="37">
        <f t="shared" si="249"/>
        <v>868800</v>
      </c>
      <c r="I357" s="37">
        <f ca="1">(RANDBETWEEN($E$14,$F$14)*$I$9)+$I$10+$I$18</f>
        <v>-189819.59895313275</v>
      </c>
      <c r="J357" s="37">
        <f ca="1">(RANDBETWEEN($E$14,$F$14)*$J$9)+$J$10+$J$18</f>
        <v>-9238.8910066427197</v>
      </c>
      <c r="K357" s="37">
        <f ca="1">(RANDBETWEEN($E$14,$F$14)*$K$9)+$K$10+$K$18</f>
        <v>260393.25392346107</v>
      </c>
      <c r="L357" s="37">
        <f ca="1">(RANDBETWEEN($E$14,$F$14)*$L$9)+$L$10+$L$18</f>
        <v>999716.39339203853</v>
      </c>
      <c r="M357" s="37">
        <f ca="1">(RANDBETWEEN($E$14,$F$14)*$M$9)+$M$10+$M$18</f>
        <v>1424944.0925515993</v>
      </c>
      <c r="N357" s="37">
        <f t="shared" ref="N357" ca="1" si="321">NPV($E$23+$F$23,H357:M357)+$H$4</f>
        <v>1648503.0470692138</v>
      </c>
    </row>
    <row r="358" spans="4:14" x14ac:dyDescent="0.25">
      <c r="D358" s="33"/>
      <c r="E358" s="33">
        <v>328</v>
      </c>
      <c r="F358" s="37"/>
      <c r="G358" s="37"/>
      <c r="H358" s="37">
        <f t="shared" si="249"/>
        <v>868800</v>
      </c>
      <c r="I358" s="37">
        <f ca="1">(RANDBETWEEN($E$14,$F$14)*$I$9)+$I$10+$I$18</f>
        <v>-189819.59895313275</v>
      </c>
      <c r="J358" s="37">
        <f ca="1">(RANDBETWEEN($E$14,$F$14)*$J$9)+$J$10+$J$18</f>
        <v>221933.48456383706</v>
      </c>
      <c r="K358" s="37">
        <f ca="1">(RANDBETWEEN($E$14,$F$14)*$K$9)+$K$10+$K$18</f>
        <v>24363.532183028292</v>
      </c>
      <c r="L358" s="37">
        <f ca="1">(RANDBETWEEN($E$14,$F$14)*$L$9)+$L$10+$L$18</f>
        <v>671221.40421803342</v>
      </c>
      <c r="M358" s="37">
        <f ca="1">(RANDBETWEEN($E$14,$F$14)*$M$9)+$M$10+$M$18</f>
        <v>1424944.0925515993</v>
      </c>
      <c r="N358" s="37">
        <f t="shared" ref="N358" ca="1" si="322">NPV($E$23+$F$23,H358:M358)+$H$4</f>
        <v>1396631.7810569336</v>
      </c>
    </row>
    <row r="359" spans="4:14" x14ac:dyDescent="0.25">
      <c r="D359" s="33"/>
      <c r="E359" s="33">
        <v>329</v>
      </c>
      <c r="F359" s="37"/>
      <c r="G359" s="37"/>
      <c r="H359" s="37">
        <f t="shared" si="249"/>
        <v>868800</v>
      </c>
      <c r="I359" s="37">
        <f ca="1">(RANDBETWEEN($E$14,$F$14)*$I$9)+$I$10+$I$18</f>
        <v>-369472.96408399101</v>
      </c>
      <c r="J359" s="37">
        <f ca="1">(RANDBETWEEN($E$14,$F$14)*$J$9)+$J$10+$J$18</f>
        <v>221933.48456383706</v>
      </c>
      <c r="K359" s="37">
        <f ca="1">(RANDBETWEEN($E$14,$F$14)*$K$9)+$K$10+$K$18</f>
        <v>260393.25392346107</v>
      </c>
      <c r="L359" s="37">
        <f ca="1">(RANDBETWEEN($E$14,$F$14)*$L$9)+$L$10+$L$18</f>
        <v>671221.40421803342</v>
      </c>
      <c r="M359" s="37">
        <f ca="1">(RANDBETWEEN($E$14,$F$14)*$M$9)+$M$10+$M$18</f>
        <v>1043245.7659826493</v>
      </c>
      <c r="N359" s="37">
        <f t="shared" ref="N359" ca="1" si="323">NPV($E$23+$F$23,H359:M359)+$H$4</f>
        <v>1143033.9510231656</v>
      </c>
    </row>
    <row r="360" spans="4:14" x14ac:dyDescent="0.25">
      <c r="D360" s="33"/>
      <c r="E360" s="33">
        <v>330</v>
      </c>
      <c r="F360" s="37"/>
      <c r="G360" s="37"/>
      <c r="H360" s="37">
        <f t="shared" si="249"/>
        <v>868800</v>
      </c>
      <c r="I360" s="37">
        <f ca="1">(RANDBETWEEN($E$14,$F$14)*$I$9)+$I$10+$I$18</f>
        <v>-369472.96408399101</v>
      </c>
      <c r="J360" s="37">
        <f ca="1">(RANDBETWEEN($E$14,$F$14)*$J$9)+$J$10+$J$18</f>
        <v>221933.48456383706</v>
      </c>
      <c r="K360" s="37">
        <f ca="1">(RANDBETWEEN($E$14,$F$14)*$K$9)+$K$10+$K$18</f>
        <v>24363.532183028292</v>
      </c>
      <c r="L360" s="37">
        <f ca="1">(RANDBETWEEN($E$14,$F$14)*$L$9)+$L$10+$L$18</f>
        <v>671221.40421803342</v>
      </c>
      <c r="M360" s="37">
        <f ca="1">(RANDBETWEEN($E$14,$F$14)*$M$9)+$M$10+$M$18</f>
        <v>1424944.0925515993</v>
      </c>
      <c r="N360" s="37">
        <f t="shared" ref="N360" ca="1" si="324">NPV($E$23+$F$23,H360:M360)+$H$4</f>
        <v>1233680.8829790577</v>
      </c>
    </row>
    <row r="361" spans="4:14" x14ac:dyDescent="0.25">
      <c r="D361" s="33"/>
      <c r="E361" s="33">
        <v>331</v>
      </c>
      <c r="F361" s="37"/>
      <c r="G361" s="37"/>
      <c r="H361" s="37">
        <f t="shared" si="249"/>
        <v>868800</v>
      </c>
      <c r="I361" s="37">
        <f ca="1">(RANDBETWEEN($E$14,$F$14)*$I$9)+$I$10+$I$18</f>
        <v>-189819.59895313275</v>
      </c>
      <c r="J361" s="37">
        <f ca="1">(RANDBETWEEN($E$14,$F$14)*$J$9)+$J$10+$J$18</f>
        <v>-9238.8910066427197</v>
      </c>
      <c r="K361" s="37">
        <f ca="1">(RANDBETWEEN($E$14,$F$14)*$K$9)+$K$10+$K$18</f>
        <v>260393.25392346107</v>
      </c>
      <c r="L361" s="37">
        <f ca="1">(RANDBETWEEN($E$14,$F$14)*$L$9)+$L$10+$L$18</f>
        <v>671221.40421803342</v>
      </c>
      <c r="M361" s="37">
        <f ca="1">(RANDBETWEEN($E$14,$F$14)*$M$9)+$M$10+$M$18</f>
        <v>1043245.7659826493</v>
      </c>
      <c r="N361" s="37">
        <f t="shared" ref="N361" ca="1" si="325">NPV($E$23+$F$23,H361:M361)+$H$4</f>
        <v>1106289.4593414213</v>
      </c>
    </row>
    <row r="362" spans="4:14" x14ac:dyDescent="0.25">
      <c r="D362" s="33"/>
      <c r="E362" s="33">
        <v>332</v>
      </c>
      <c r="F362" s="37"/>
      <c r="G362" s="37"/>
      <c r="H362" s="37">
        <f t="shared" si="249"/>
        <v>868800</v>
      </c>
      <c r="I362" s="37">
        <f ca="1">(RANDBETWEEN($E$14,$F$14)*$I$9)+$I$10+$I$18</f>
        <v>-369472.96408399101</v>
      </c>
      <c r="J362" s="37">
        <f ca="1">(RANDBETWEEN($E$14,$F$14)*$J$9)+$J$10+$J$18</f>
        <v>221933.48456383706</v>
      </c>
      <c r="K362" s="37">
        <f ca="1">(RANDBETWEEN($E$14,$F$14)*$K$9)+$K$10+$K$18</f>
        <v>260393.25392346107</v>
      </c>
      <c r="L362" s="37">
        <f ca="1">(RANDBETWEEN($E$14,$F$14)*$L$9)+$L$10+$L$18</f>
        <v>999716.39339203853</v>
      </c>
      <c r="M362" s="37">
        <f ca="1">(RANDBETWEEN($E$14,$F$14)*$M$9)+$M$10+$M$18</f>
        <v>1424944.0925515993</v>
      </c>
      <c r="N362" s="37">
        <f t="shared" ref="N362" ca="1" si="326">NPV($E$23+$F$23,H362:M362)+$H$4</f>
        <v>1685247.5387509572</v>
      </c>
    </row>
    <row r="363" spans="4:14" x14ac:dyDescent="0.25">
      <c r="D363" s="33"/>
      <c r="E363" s="33">
        <v>333</v>
      </c>
      <c r="F363" s="37"/>
      <c r="G363" s="37"/>
      <c r="H363" s="37">
        <f t="shared" si="249"/>
        <v>868800</v>
      </c>
      <c r="I363" s="37">
        <f ca="1">(RANDBETWEEN($E$14,$F$14)*$I$9)+$I$10+$I$18</f>
        <v>-369472.96408399101</v>
      </c>
      <c r="J363" s="37">
        <f ca="1">(RANDBETWEEN($E$14,$F$14)*$J$9)+$J$10+$J$18</f>
        <v>221933.48456383706</v>
      </c>
      <c r="K363" s="37">
        <f ca="1">(RANDBETWEEN($E$14,$F$14)*$K$9)+$K$10+$K$18</f>
        <v>260393.25392346107</v>
      </c>
      <c r="L363" s="37">
        <f ca="1">(RANDBETWEEN($E$14,$F$14)*$L$9)+$L$10+$L$18</f>
        <v>671221.40421803342</v>
      </c>
      <c r="M363" s="37">
        <f ca="1">(RANDBETWEEN($E$14,$F$14)*$M$9)+$M$10+$M$18</f>
        <v>1043245.7659826493</v>
      </c>
      <c r="N363" s="37">
        <f t="shared" ref="N363" ca="1" si="327">NPV($E$23+$F$23,H363:M363)+$H$4</f>
        <v>1143033.9510231656</v>
      </c>
    </row>
    <row r="364" spans="4:14" x14ac:dyDescent="0.25">
      <c r="D364" s="33"/>
      <c r="E364" s="33">
        <v>334</v>
      </c>
      <c r="F364" s="37"/>
      <c r="G364" s="37"/>
      <c r="H364" s="37">
        <f t="shared" si="249"/>
        <v>868800</v>
      </c>
      <c r="I364" s="37">
        <f ca="1">(RANDBETWEEN($E$14,$F$14)*$I$9)+$I$10+$I$18</f>
        <v>-369472.96408399101</v>
      </c>
      <c r="J364" s="37">
        <f ca="1">(RANDBETWEEN($E$14,$F$14)*$J$9)+$J$10+$J$18</f>
        <v>-9238.8910066427197</v>
      </c>
      <c r="K364" s="37">
        <f ca="1">(RANDBETWEEN($E$14,$F$14)*$K$9)+$K$10+$K$18</f>
        <v>260393.25392346107</v>
      </c>
      <c r="L364" s="37">
        <f ca="1">(RANDBETWEEN($E$14,$F$14)*$L$9)+$L$10+$L$18</f>
        <v>999716.39339203853</v>
      </c>
      <c r="M364" s="37">
        <f ca="1">(RANDBETWEEN($E$14,$F$14)*$M$9)+$M$10+$M$18</f>
        <v>1043245.7659826493</v>
      </c>
      <c r="N364" s="37">
        <f t="shared" ref="N364" ca="1" si="328">NPV($E$23+$F$23,H364:M364)+$H$4</f>
        <v>1200722.9808351514</v>
      </c>
    </row>
    <row r="365" spans="4:14" x14ac:dyDescent="0.25">
      <c r="D365" s="33"/>
      <c r="E365" s="33">
        <v>335</v>
      </c>
      <c r="F365" s="37"/>
      <c r="G365" s="37"/>
      <c r="H365" s="37">
        <f t="shared" si="249"/>
        <v>868800</v>
      </c>
      <c r="I365" s="37">
        <f ca="1">(RANDBETWEEN($E$14,$F$14)*$I$9)+$I$10+$I$18</f>
        <v>-189819.59895313275</v>
      </c>
      <c r="J365" s="37">
        <f ca="1">(RANDBETWEEN($E$14,$F$14)*$J$9)+$J$10+$J$18</f>
        <v>-9238.8910066427197</v>
      </c>
      <c r="K365" s="37">
        <f ca="1">(RANDBETWEEN($E$14,$F$14)*$K$9)+$K$10+$K$18</f>
        <v>24363.532183028292</v>
      </c>
      <c r="L365" s="37">
        <f ca="1">(RANDBETWEEN($E$14,$F$14)*$L$9)+$L$10+$L$18</f>
        <v>671221.40421803342</v>
      </c>
      <c r="M365" s="37">
        <f ca="1">(RANDBETWEEN($E$14,$F$14)*$M$9)+$M$10+$M$18</f>
        <v>1043245.7659826493</v>
      </c>
      <c r="N365" s="37">
        <f t="shared" ref="N365" ca="1" si="329">NPV($E$23+$F$23,H365:M365)+$H$4</f>
        <v>912107.22314112843</v>
      </c>
    </row>
    <row r="366" spans="4:14" x14ac:dyDescent="0.25">
      <c r="D366" s="33"/>
      <c r="E366" s="33">
        <v>336</v>
      </c>
      <c r="F366" s="37"/>
      <c r="G366" s="37"/>
      <c r="H366" s="37">
        <f t="shared" si="249"/>
        <v>868800</v>
      </c>
      <c r="I366" s="37">
        <f ca="1">(RANDBETWEEN($E$14,$F$14)*$I$9)+$I$10+$I$18</f>
        <v>-369472.96408399101</v>
      </c>
      <c r="J366" s="37">
        <f ca="1">(RANDBETWEEN($E$14,$F$14)*$J$9)+$J$10+$J$18</f>
        <v>-9238.8910066427197</v>
      </c>
      <c r="K366" s="37">
        <f ca="1">(RANDBETWEEN($E$14,$F$14)*$K$9)+$K$10+$K$18</f>
        <v>24363.532183028292</v>
      </c>
      <c r="L366" s="37">
        <f ca="1">(RANDBETWEEN($E$14,$F$14)*$L$9)+$L$10+$L$18</f>
        <v>671221.40421803342</v>
      </c>
      <c r="M366" s="37">
        <f ca="1">(RANDBETWEEN($E$14,$F$14)*$M$9)+$M$10+$M$18</f>
        <v>1043245.7659826493</v>
      </c>
      <c r="N366" s="37">
        <f t="shared" ref="N366" ca="1" si="330">NPV($E$23+$F$23,H366:M366)+$H$4</f>
        <v>749156.32506325236</v>
      </c>
    </row>
    <row r="367" spans="4:14" x14ac:dyDescent="0.25">
      <c r="D367" s="33"/>
      <c r="E367" s="33">
        <v>337</v>
      </c>
      <c r="F367" s="37"/>
      <c r="G367" s="37"/>
      <c r="H367" s="37">
        <f t="shared" si="249"/>
        <v>868800</v>
      </c>
      <c r="I367" s="37">
        <f ca="1">(RANDBETWEEN($E$14,$F$14)*$I$9)+$I$10+$I$18</f>
        <v>-369472.96408399101</v>
      </c>
      <c r="J367" s="37">
        <f ca="1">(RANDBETWEEN($E$14,$F$14)*$J$9)+$J$10+$J$18</f>
        <v>-9238.8910066427197</v>
      </c>
      <c r="K367" s="37">
        <f ca="1">(RANDBETWEEN($E$14,$F$14)*$K$9)+$K$10+$K$18</f>
        <v>24363.532183028292</v>
      </c>
      <c r="L367" s="37">
        <f ca="1">(RANDBETWEEN($E$14,$F$14)*$L$9)+$L$10+$L$18</f>
        <v>999716.39339203853</v>
      </c>
      <c r="M367" s="37">
        <f ca="1">(RANDBETWEEN($E$14,$F$14)*$M$9)+$M$10+$M$18</f>
        <v>1424944.0925515993</v>
      </c>
      <c r="N367" s="37">
        <f t="shared" ref="N367" ca="1" si="331">NPV($E$23+$F$23,H367:M367)+$H$4</f>
        <v>1291369.9127910445</v>
      </c>
    </row>
    <row r="368" spans="4:14" x14ac:dyDescent="0.25">
      <c r="D368" s="33"/>
      <c r="E368" s="33">
        <v>338</v>
      </c>
      <c r="F368" s="37"/>
      <c r="G368" s="37"/>
      <c r="H368" s="37">
        <f t="shared" si="249"/>
        <v>868800</v>
      </c>
      <c r="I368" s="37">
        <f ca="1">(RANDBETWEEN($E$14,$F$14)*$I$9)+$I$10+$I$18</f>
        <v>-189819.59895313275</v>
      </c>
      <c r="J368" s="37">
        <f ca="1">(RANDBETWEEN($E$14,$F$14)*$J$9)+$J$10+$J$18</f>
        <v>-9238.8910066427197</v>
      </c>
      <c r="K368" s="37">
        <f ca="1">(RANDBETWEEN($E$14,$F$14)*$K$9)+$K$10+$K$18</f>
        <v>24363.532183028292</v>
      </c>
      <c r="L368" s="37">
        <f ca="1">(RANDBETWEEN($E$14,$F$14)*$L$9)+$L$10+$L$18</f>
        <v>999716.39339203853</v>
      </c>
      <c r="M368" s="37">
        <f ca="1">(RANDBETWEEN($E$14,$F$14)*$M$9)+$M$10+$M$18</f>
        <v>1043245.7659826493</v>
      </c>
      <c r="N368" s="37">
        <f t="shared" ref="N368" ca="1" si="332">NPV($E$23+$F$23,H368:M368)+$H$4</f>
        <v>1169491.6427127346</v>
      </c>
    </row>
    <row r="369" spans="4:14" x14ac:dyDescent="0.25">
      <c r="D369" s="33"/>
      <c r="E369" s="33">
        <v>339</v>
      </c>
      <c r="F369" s="37"/>
      <c r="G369" s="37"/>
      <c r="H369" s="37">
        <f t="shared" si="249"/>
        <v>868800</v>
      </c>
      <c r="I369" s="37">
        <f ca="1">(RANDBETWEEN($E$14,$F$14)*$I$9)+$I$10+$I$18</f>
        <v>-369472.96408399101</v>
      </c>
      <c r="J369" s="37">
        <f ca="1">(RANDBETWEEN($E$14,$F$14)*$J$9)+$J$10+$J$18</f>
        <v>-9238.8910066427197</v>
      </c>
      <c r="K369" s="37">
        <f ca="1">(RANDBETWEEN($E$14,$F$14)*$K$9)+$K$10+$K$18</f>
        <v>24363.532183028292</v>
      </c>
      <c r="L369" s="37">
        <f ca="1">(RANDBETWEEN($E$14,$F$14)*$L$9)+$L$10+$L$18</f>
        <v>999716.39339203853</v>
      </c>
      <c r="M369" s="37">
        <f ca="1">(RANDBETWEEN($E$14,$F$14)*$M$9)+$M$10+$M$18</f>
        <v>1424944.0925515993</v>
      </c>
      <c r="N369" s="37">
        <f t="shared" ref="N369" ca="1" si="333">NPV($E$23+$F$23,H369:M369)+$H$4</f>
        <v>1291369.9127910445</v>
      </c>
    </row>
    <row r="370" spans="4:14" x14ac:dyDescent="0.25">
      <c r="D370" s="33"/>
      <c r="E370" s="33">
        <v>340</v>
      </c>
      <c r="F370" s="37"/>
      <c r="G370" s="37"/>
      <c r="H370" s="37">
        <f t="shared" si="249"/>
        <v>868800</v>
      </c>
      <c r="I370" s="37">
        <f ca="1">(RANDBETWEEN($E$14,$F$14)*$I$9)+$I$10+$I$18</f>
        <v>-369472.96408399101</v>
      </c>
      <c r="J370" s="37">
        <f ca="1">(RANDBETWEEN($E$14,$F$14)*$J$9)+$J$10+$J$18</f>
        <v>221933.48456383706</v>
      </c>
      <c r="K370" s="37">
        <f ca="1">(RANDBETWEEN($E$14,$F$14)*$K$9)+$K$10+$K$18</f>
        <v>24363.532183028292</v>
      </c>
      <c r="L370" s="37">
        <f ca="1">(RANDBETWEEN($E$14,$F$14)*$L$9)+$L$10+$L$18</f>
        <v>671221.40421803342</v>
      </c>
      <c r="M370" s="37">
        <f ca="1">(RANDBETWEEN($E$14,$F$14)*$M$9)+$M$10+$M$18</f>
        <v>1043245.7659826493</v>
      </c>
      <c r="N370" s="37">
        <f t="shared" ref="N370" ca="1" si="334">NPV($E$23+$F$23,H370:M370)+$H$4</f>
        <v>948851.71482287208</v>
      </c>
    </row>
    <row r="371" spans="4:14" x14ac:dyDescent="0.25">
      <c r="D371" s="33"/>
      <c r="E371" s="33">
        <v>341</v>
      </c>
      <c r="F371" s="37"/>
      <c r="G371" s="37"/>
      <c r="H371" s="37">
        <f t="shared" si="249"/>
        <v>868800</v>
      </c>
      <c r="I371" s="37">
        <f ca="1">(RANDBETWEEN($E$14,$F$14)*$I$9)+$I$10+$I$18</f>
        <v>-369472.96408399101</v>
      </c>
      <c r="J371" s="37">
        <f ca="1">(RANDBETWEEN($E$14,$F$14)*$J$9)+$J$10+$J$18</f>
        <v>-9238.8910066427197</v>
      </c>
      <c r="K371" s="37">
        <f ca="1">(RANDBETWEEN($E$14,$F$14)*$K$9)+$K$10+$K$18</f>
        <v>24363.532183028292</v>
      </c>
      <c r="L371" s="37">
        <f ca="1">(RANDBETWEEN($E$14,$F$14)*$L$9)+$L$10+$L$18</f>
        <v>999716.39339203853</v>
      </c>
      <c r="M371" s="37">
        <f ca="1">(RANDBETWEEN($E$14,$F$14)*$M$9)+$M$10+$M$18</f>
        <v>1424944.0925515993</v>
      </c>
      <c r="N371" s="37">
        <f t="shared" ref="N371" ca="1" si="335">NPV($E$23+$F$23,H371:M371)+$H$4</f>
        <v>1291369.9127910445</v>
      </c>
    </row>
    <row r="372" spans="4:14" x14ac:dyDescent="0.25">
      <c r="D372" s="33"/>
      <c r="E372" s="33">
        <v>342</v>
      </c>
      <c r="F372" s="37"/>
      <c r="G372" s="37"/>
      <c r="H372" s="37">
        <f t="shared" si="249"/>
        <v>868800</v>
      </c>
      <c r="I372" s="37">
        <f ca="1">(RANDBETWEEN($E$14,$F$14)*$I$9)+$I$10+$I$18</f>
        <v>-189819.59895313275</v>
      </c>
      <c r="J372" s="37">
        <f ca="1">(RANDBETWEEN($E$14,$F$14)*$J$9)+$J$10+$J$18</f>
        <v>221933.48456383706</v>
      </c>
      <c r="K372" s="37">
        <f ca="1">(RANDBETWEEN($E$14,$F$14)*$K$9)+$K$10+$K$18</f>
        <v>260393.25392346107</v>
      </c>
      <c r="L372" s="37">
        <f ca="1">(RANDBETWEEN($E$14,$F$14)*$L$9)+$L$10+$L$18</f>
        <v>999716.39339203853</v>
      </c>
      <c r="M372" s="37">
        <f ca="1">(RANDBETWEEN($E$14,$F$14)*$M$9)+$M$10+$M$18</f>
        <v>1424944.0925515993</v>
      </c>
      <c r="N372" s="37">
        <f t="shared" ref="N372" ca="1" si="336">NPV($E$23+$F$23,H372:M372)+$H$4</f>
        <v>1848198.4368288331</v>
      </c>
    </row>
    <row r="373" spans="4:14" x14ac:dyDescent="0.25">
      <c r="D373" s="33"/>
      <c r="E373" s="33">
        <v>343</v>
      </c>
      <c r="F373" s="37"/>
      <c r="G373" s="37"/>
      <c r="H373" s="37">
        <f t="shared" si="249"/>
        <v>868800</v>
      </c>
      <c r="I373" s="37">
        <f ca="1">(RANDBETWEEN($E$14,$F$14)*$I$9)+$I$10+$I$18</f>
        <v>-189819.59895313275</v>
      </c>
      <c r="J373" s="37">
        <f ca="1">(RANDBETWEEN($E$14,$F$14)*$J$9)+$J$10+$J$18</f>
        <v>221933.48456383706</v>
      </c>
      <c r="K373" s="37">
        <f ca="1">(RANDBETWEEN($E$14,$F$14)*$K$9)+$K$10+$K$18</f>
        <v>24363.532183028292</v>
      </c>
      <c r="L373" s="37">
        <f ca="1">(RANDBETWEEN($E$14,$F$14)*$L$9)+$L$10+$L$18</f>
        <v>671221.40421803342</v>
      </c>
      <c r="M373" s="37">
        <f ca="1">(RANDBETWEEN($E$14,$F$14)*$M$9)+$M$10+$M$18</f>
        <v>1043245.7659826493</v>
      </c>
      <c r="N373" s="37">
        <f t="shared" ref="N373" ca="1" si="337">NPV($E$23+$F$23,H373:M373)+$H$4</f>
        <v>1111802.6129007479</v>
      </c>
    </row>
    <row r="374" spans="4:14" x14ac:dyDescent="0.25">
      <c r="D374" s="33"/>
      <c r="E374" s="33">
        <v>344</v>
      </c>
      <c r="F374" s="37"/>
      <c r="G374" s="37"/>
      <c r="H374" s="37">
        <f t="shared" si="249"/>
        <v>868800</v>
      </c>
      <c r="I374" s="37">
        <f ca="1">(RANDBETWEEN($E$14,$F$14)*$I$9)+$I$10+$I$18</f>
        <v>-369472.96408399101</v>
      </c>
      <c r="J374" s="37">
        <f ca="1">(RANDBETWEEN($E$14,$F$14)*$J$9)+$J$10+$J$18</f>
        <v>221933.48456383706</v>
      </c>
      <c r="K374" s="37">
        <f ca="1">(RANDBETWEEN($E$14,$F$14)*$K$9)+$K$10+$K$18</f>
        <v>24363.532183028292</v>
      </c>
      <c r="L374" s="37">
        <f ca="1">(RANDBETWEEN($E$14,$F$14)*$L$9)+$L$10+$L$18</f>
        <v>999716.39339203853</v>
      </c>
      <c r="M374" s="37">
        <f ca="1">(RANDBETWEEN($E$14,$F$14)*$M$9)+$M$10+$M$18</f>
        <v>1043245.7659826493</v>
      </c>
      <c r="N374" s="37">
        <f t="shared" ref="N374" ca="1" si="338">NPV($E$23+$F$23,H374:M374)+$H$4</f>
        <v>1206236.1343944785</v>
      </c>
    </row>
    <row r="375" spans="4:14" x14ac:dyDescent="0.25">
      <c r="D375" s="33"/>
      <c r="E375" s="33">
        <v>345</v>
      </c>
      <c r="F375" s="37"/>
      <c r="G375" s="37"/>
      <c r="H375" s="37">
        <f t="shared" si="249"/>
        <v>868800</v>
      </c>
      <c r="I375" s="37">
        <f ca="1">(RANDBETWEEN($E$14,$F$14)*$I$9)+$I$10+$I$18</f>
        <v>-189819.59895313275</v>
      </c>
      <c r="J375" s="37">
        <f ca="1">(RANDBETWEEN($E$14,$F$14)*$J$9)+$J$10+$J$18</f>
        <v>-9238.8910066427197</v>
      </c>
      <c r="K375" s="37">
        <f ca="1">(RANDBETWEEN($E$14,$F$14)*$K$9)+$K$10+$K$18</f>
        <v>260393.25392346107</v>
      </c>
      <c r="L375" s="37">
        <f ca="1">(RANDBETWEEN($E$14,$F$14)*$L$9)+$L$10+$L$18</f>
        <v>999716.39339203853</v>
      </c>
      <c r="M375" s="37">
        <f ca="1">(RANDBETWEEN($E$14,$F$14)*$M$9)+$M$10+$M$18</f>
        <v>1424944.0925515993</v>
      </c>
      <c r="N375" s="37">
        <f t="shared" ref="N375" ca="1" si="339">NPV($E$23+$F$23,H375:M375)+$H$4</f>
        <v>1648503.0470692138</v>
      </c>
    </row>
    <row r="376" spans="4:14" x14ac:dyDescent="0.25">
      <c r="D376" s="33"/>
      <c r="E376" s="33">
        <v>346</v>
      </c>
      <c r="F376" s="37"/>
      <c r="G376" s="37"/>
      <c r="H376" s="37">
        <f t="shared" si="249"/>
        <v>868800</v>
      </c>
      <c r="I376" s="37">
        <f ca="1">(RANDBETWEEN($E$14,$F$14)*$I$9)+$I$10+$I$18</f>
        <v>-189819.59895313275</v>
      </c>
      <c r="J376" s="37">
        <f ca="1">(RANDBETWEEN($E$14,$F$14)*$J$9)+$J$10+$J$18</f>
        <v>221933.48456383706</v>
      </c>
      <c r="K376" s="37">
        <f ca="1">(RANDBETWEEN($E$14,$F$14)*$K$9)+$K$10+$K$18</f>
        <v>24363.532183028292</v>
      </c>
      <c r="L376" s="37">
        <f ca="1">(RANDBETWEEN($E$14,$F$14)*$L$9)+$L$10+$L$18</f>
        <v>999716.39339203853</v>
      </c>
      <c r="M376" s="37">
        <f ca="1">(RANDBETWEEN($E$14,$F$14)*$M$9)+$M$10+$M$18</f>
        <v>1424944.0925515993</v>
      </c>
      <c r="N376" s="37">
        <f t="shared" ref="N376" ca="1" si="340">NPV($E$23+$F$23,H376:M376)+$H$4</f>
        <v>1654016.20062854</v>
      </c>
    </row>
    <row r="377" spans="4:14" x14ac:dyDescent="0.25">
      <c r="D377" s="33"/>
      <c r="E377" s="33">
        <v>347</v>
      </c>
      <c r="F377" s="37"/>
      <c r="G377" s="37"/>
      <c r="H377" s="37">
        <f t="shared" si="249"/>
        <v>868800</v>
      </c>
      <c r="I377" s="37">
        <f ca="1">(RANDBETWEEN($E$14,$F$14)*$I$9)+$I$10+$I$18</f>
        <v>-189819.59895313275</v>
      </c>
      <c r="J377" s="37">
        <f ca="1">(RANDBETWEEN($E$14,$F$14)*$J$9)+$J$10+$J$18</f>
        <v>-9238.8910066427197</v>
      </c>
      <c r="K377" s="37">
        <f ca="1">(RANDBETWEEN($E$14,$F$14)*$K$9)+$K$10+$K$18</f>
        <v>260393.25392346107</v>
      </c>
      <c r="L377" s="37">
        <f ca="1">(RANDBETWEEN($E$14,$F$14)*$L$9)+$L$10+$L$18</f>
        <v>671221.40421803342</v>
      </c>
      <c r="M377" s="37">
        <f ca="1">(RANDBETWEEN($E$14,$F$14)*$M$9)+$M$10+$M$18</f>
        <v>1424944.0925515993</v>
      </c>
      <c r="N377" s="37">
        <f t="shared" ref="N377" ca="1" si="341">NPV($E$23+$F$23,H377:M377)+$H$4</f>
        <v>1391118.6274976074</v>
      </c>
    </row>
    <row r="378" spans="4:14" x14ac:dyDescent="0.25">
      <c r="D378" s="33"/>
      <c r="E378" s="33">
        <v>348</v>
      </c>
      <c r="F378" s="37"/>
      <c r="G378" s="37"/>
      <c r="H378" s="37">
        <f t="shared" si="249"/>
        <v>868800</v>
      </c>
      <c r="I378" s="37">
        <f ca="1">(RANDBETWEEN($E$14,$F$14)*$I$9)+$I$10+$I$18</f>
        <v>-369472.96408399101</v>
      </c>
      <c r="J378" s="37">
        <f ca="1">(RANDBETWEEN($E$14,$F$14)*$J$9)+$J$10+$J$18</f>
        <v>221933.48456383706</v>
      </c>
      <c r="K378" s="37">
        <f ca="1">(RANDBETWEEN($E$14,$F$14)*$K$9)+$K$10+$K$18</f>
        <v>260393.25392346107</v>
      </c>
      <c r="L378" s="37">
        <f ca="1">(RANDBETWEEN($E$14,$F$14)*$L$9)+$L$10+$L$18</f>
        <v>671221.40421803342</v>
      </c>
      <c r="M378" s="37">
        <f ca="1">(RANDBETWEEN($E$14,$F$14)*$M$9)+$M$10+$M$18</f>
        <v>1043245.7659826493</v>
      </c>
      <c r="N378" s="37">
        <f t="shared" ref="N378" ca="1" si="342">NPV($E$23+$F$23,H378:M378)+$H$4</f>
        <v>1143033.9510231656</v>
      </c>
    </row>
    <row r="379" spans="4:14" x14ac:dyDescent="0.25">
      <c r="D379" s="33"/>
      <c r="E379" s="33">
        <v>349</v>
      </c>
      <c r="F379" s="37"/>
      <c r="G379" s="37"/>
      <c r="H379" s="37">
        <f t="shared" si="249"/>
        <v>868800</v>
      </c>
      <c r="I379" s="37">
        <f ca="1">(RANDBETWEEN($E$14,$F$14)*$I$9)+$I$10+$I$18</f>
        <v>-369472.96408399101</v>
      </c>
      <c r="J379" s="37">
        <f ca="1">(RANDBETWEEN($E$14,$F$14)*$J$9)+$J$10+$J$18</f>
        <v>221933.48456383706</v>
      </c>
      <c r="K379" s="37">
        <f ca="1">(RANDBETWEEN($E$14,$F$14)*$K$9)+$K$10+$K$18</f>
        <v>24363.532183028292</v>
      </c>
      <c r="L379" s="37">
        <f ca="1">(RANDBETWEEN($E$14,$F$14)*$L$9)+$L$10+$L$18</f>
        <v>671221.40421803342</v>
      </c>
      <c r="M379" s="37">
        <f ca="1">(RANDBETWEEN($E$14,$F$14)*$M$9)+$M$10+$M$18</f>
        <v>1424944.0925515993</v>
      </c>
      <c r="N379" s="37">
        <f t="shared" ref="N379" ca="1" si="343">NPV($E$23+$F$23,H379:M379)+$H$4</f>
        <v>1233680.8829790577</v>
      </c>
    </row>
    <row r="380" spans="4:14" x14ac:dyDescent="0.25">
      <c r="D380" s="33"/>
      <c r="E380" s="33">
        <v>350</v>
      </c>
      <c r="F380" s="37"/>
      <c r="G380" s="37"/>
      <c r="H380" s="37">
        <f t="shared" si="249"/>
        <v>868800</v>
      </c>
      <c r="I380" s="37">
        <f ca="1">(RANDBETWEEN($E$14,$F$14)*$I$9)+$I$10+$I$18</f>
        <v>-189819.59895313275</v>
      </c>
      <c r="J380" s="37">
        <f ca="1">(RANDBETWEEN($E$14,$F$14)*$J$9)+$J$10+$J$18</f>
        <v>-9238.8910066427197</v>
      </c>
      <c r="K380" s="37">
        <f ca="1">(RANDBETWEEN($E$14,$F$14)*$K$9)+$K$10+$K$18</f>
        <v>24363.532183028292</v>
      </c>
      <c r="L380" s="37">
        <f ca="1">(RANDBETWEEN($E$14,$F$14)*$L$9)+$L$10+$L$18</f>
        <v>671221.40421803342</v>
      </c>
      <c r="M380" s="37">
        <f ca="1">(RANDBETWEEN($E$14,$F$14)*$M$9)+$M$10+$M$18</f>
        <v>1043245.7659826493</v>
      </c>
      <c r="N380" s="37">
        <f t="shared" ref="N380" ca="1" si="344">NPV($E$23+$F$23,H380:M380)+$H$4</f>
        <v>912107.22314112843</v>
      </c>
    </row>
    <row r="381" spans="4:14" x14ac:dyDescent="0.25">
      <c r="D381" s="33"/>
      <c r="E381" s="33">
        <v>351</v>
      </c>
      <c r="F381" s="37"/>
      <c r="G381" s="37"/>
      <c r="H381" s="37">
        <f t="shared" si="249"/>
        <v>868800</v>
      </c>
      <c r="I381" s="37">
        <f ca="1">(RANDBETWEEN($E$14,$F$14)*$I$9)+$I$10+$I$18</f>
        <v>-189819.59895313275</v>
      </c>
      <c r="J381" s="37">
        <f ca="1">(RANDBETWEEN($E$14,$F$14)*$J$9)+$J$10+$J$18</f>
        <v>221933.48456383706</v>
      </c>
      <c r="K381" s="37">
        <f ca="1">(RANDBETWEEN($E$14,$F$14)*$K$9)+$K$10+$K$18</f>
        <v>24363.532183028292</v>
      </c>
      <c r="L381" s="37">
        <f ca="1">(RANDBETWEEN($E$14,$F$14)*$L$9)+$L$10+$L$18</f>
        <v>999716.39339203853</v>
      </c>
      <c r="M381" s="37">
        <f ca="1">(RANDBETWEEN($E$14,$F$14)*$M$9)+$M$10+$M$18</f>
        <v>1424944.0925515993</v>
      </c>
      <c r="N381" s="37">
        <f t="shared" ref="N381" ca="1" si="345">NPV($E$23+$F$23,H381:M381)+$H$4</f>
        <v>1654016.20062854</v>
      </c>
    </row>
    <row r="382" spans="4:14" x14ac:dyDescent="0.25">
      <c r="D382" s="33"/>
      <c r="E382" s="33">
        <v>352</v>
      </c>
      <c r="F382" s="37"/>
      <c r="G382" s="37"/>
      <c r="H382" s="37">
        <f t="shared" si="249"/>
        <v>868800</v>
      </c>
      <c r="I382" s="37">
        <f ca="1">(RANDBETWEEN($E$14,$F$14)*$I$9)+$I$10+$I$18</f>
        <v>-189819.59895313275</v>
      </c>
      <c r="J382" s="37">
        <f ca="1">(RANDBETWEEN($E$14,$F$14)*$J$9)+$J$10+$J$18</f>
        <v>-9238.8910066427197</v>
      </c>
      <c r="K382" s="37">
        <f ca="1">(RANDBETWEEN($E$14,$F$14)*$K$9)+$K$10+$K$18</f>
        <v>260393.25392346107</v>
      </c>
      <c r="L382" s="37">
        <f ca="1">(RANDBETWEEN($E$14,$F$14)*$L$9)+$L$10+$L$18</f>
        <v>671221.40421803342</v>
      </c>
      <c r="M382" s="37">
        <f ca="1">(RANDBETWEEN($E$14,$F$14)*$M$9)+$M$10+$M$18</f>
        <v>1424944.0925515993</v>
      </c>
      <c r="N382" s="37">
        <f t="shared" ref="N382" ca="1" si="346">NPV($E$23+$F$23,H382:M382)+$H$4</f>
        <v>1391118.6274976074</v>
      </c>
    </row>
    <row r="383" spans="4:14" x14ac:dyDescent="0.25">
      <c r="D383" s="33"/>
      <c r="E383" s="33">
        <v>353</v>
      </c>
      <c r="F383" s="37"/>
      <c r="G383" s="37"/>
      <c r="H383" s="37">
        <f t="shared" si="249"/>
        <v>868800</v>
      </c>
      <c r="I383" s="37">
        <f ca="1">(RANDBETWEEN($E$14,$F$14)*$I$9)+$I$10+$I$18</f>
        <v>-189819.59895313275</v>
      </c>
      <c r="J383" s="37">
        <f ca="1">(RANDBETWEEN($E$14,$F$14)*$J$9)+$J$10+$J$18</f>
        <v>-9238.8910066427197</v>
      </c>
      <c r="K383" s="37">
        <f ca="1">(RANDBETWEEN($E$14,$F$14)*$K$9)+$K$10+$K$18</f>
        <v>260393.25392346107</v>
      </c>
      <c r="L383" s="37">
        <f ca="1">(RANDBETWEEN($E$14,$F$14)*$L$9)+$L$10+$L$18</f>
        <v>999716.39339203853</v>
      </c>
      <c r="M383" s="37">
        <f ca="1">(RANDBETWEEN($E$14,$F$14)*$M$9)+$M$10+$M$18</f>
        <v>1043245.7659826493</v>
      </c>
      <c r="N383" s="37">
        <f t="shared" ref="N383" ca="1" si="347">NPV($E$23+$F$23,H383:M383)+$H$4</f>
        <v>1363673.8789130282</v>
      </c>
    </row>
    <row r="384" spans="4:14" x14ac:dyDescent="0.25">
      <c r="D384" s="33"/>
      <c r="E384" s="33">
        <v>354</v>
      </c>
      <c r="F384" s="37"/>
      <c r="G384" s="37"/>
      <c r="H384" s="37">
        <f t="shared" si="249"/>
        <v>868800</v>
      </c>
      <c r="I384" s="37">
        <f ca="1">(RANDBETWEEN($E$14,$F$14)*$I$9)+$I$10+$I$18</f>
        <v>-189819.59895313275</v>
      </c>
      <c r="J384" s="37">
        <f ca="1">(RANDBETWEEN($E$14,$F$14)*$J$9)+$J$10+$J$18</f>
        <v>221933.48456383706</v>
      </c>
      <c r="K384" s="37">
        <f ca="1">(RANDBETWEEN($E$14,$F$14)*$K$9)+$K$10+$K$18</f>
        <v>24363.532183028292</v>
      </c>
      <c r="L384" s="37">
        <f ca="1">(RANDBETWEEN($E$14,$F$14)*$L$9)+$L$10+$L$18</f>
        <v>999716.39339203853</v>
      </c>
      <c r="M384" s="37">
        <f ca="1">(RANDBETWEEN($E$14,$F$14)*$M$9)+$M$10+$M$18</f>
        <v>1424944.0925515993</v>
      </c>
      <c r="N384" s="37">
        <f t="shared" ref="N384" ca="1" si="348">NPV($E$23+$F$23,H384:M384)+$H$4</f>
        <v>1654016.20062854</v>
      </c>
    </row>
    <row r="385" spans="4:17" x14ac:dyDescent="0.25">
      <c r="D385" s="33"/>
      <c r="E385" s="33">
        <v>355</v>
      </c>
      <c r="F385" s="37"/>
      <c r="G385" s="37"/>
      <c r="H385" s="37">
        <f t="shared" si="249"/>
        <v>868800</v>
      </c>
      <c r="I385" s="37">
        <f ca="1">(RANDBETWEEN($E$14,$F$14)*$I$9)+$I$10+$I$18</f>
        <v>-369472.96408399101</v>
      </c>
      <c r="J385" s="37">
        <f ca="1">(RANDBETWEEN($E$14,$F$14)*$J$9)+$J$10+$J$18</f>
        <v>-9238.8910066427197</v>
      </c>
      <c r="K385" s="37">
        <f ca="1">(RANDBETWEEN($E$14,$F$14)*$K$9)+$K$10+$K$18</f>
        <v>24363.532183028292</v>
      </c>
      <c r="L385" s="37">
        <f ca="1">(RANDBETWEEN($E$14,$F$14)*$L$9)+$L$10+$L$18</f>
        <v>671221.40421803342</v>
      </c>
      <c r="M385" s="37">
        <f ca="1">(RANDBETWEEN($E$14,$F$14)*$M$9)+$M$10+$M$18</f>
        <v>1043245.7659826493</v>
      </c>
      <c r="N385" s="37">
        <f t="shared" ref="N385" ca="1" si="349">NPV($E$23+$F$23,H385:M385)+$H$4</f>
        <v>749156.32506325236</v>
      </c>
    </row>
    <row r="386" spans="4:17" x14ac:dyDescent="0.25">
      <c r="D386" s="33"/>
      <c r="E386" s="33">
        <v>356</v>
      </c>
      <c r="F386" s="37"/>
      <c r="G386" s="37"/>
      <c r="H386" s="37">
        <f t="shared" si="249"/>
        <v>868800</v>
      </c>
      <c r="I386" s="37">
        <f ca="1">(RANDBETWEEN($E$14,$F$14)*$I$9)+$I$10+$I$18</f>
        <v>-369472.96408399101</v>
      </c>
      <c r="J386" s="37">
        <f ca="1">(RANDBETWEEN($E$14,$F$14)*$J$9)+$J$10+$J$18</f>
        <v>221933.48456383706</v>
      </c>
      <c r="K386" s="37">
        <f ca="1">(RANDBETWEEN($E$14,$F$14)*$K$9)+$K$10+$K$18</f>
        <v>260393.25392346107</v>
      </c>
      <c r="L386" s="37">
        <f ca="1">(RANDBETWEEN($E$14,$F$14)*$L$9)+$L$10+$L$18</f>
        <v>671221.40421803342</v>
      </c>
      <c r="M386" s="37">
        <f ca="1">(RANDBETWEEN($E$14,$F$14)*$M$9)+$M$10+$M$18</f>
        <v>1043245.7659826493</v>
      </c>
      <c r="N386" s="37">
        <f t="shared" ref="N386" ca="1" si="350">NPV($E$23+$F$23,H386:M386)+$H$4</f>
        <v>1143033.9510231656</v>
      </c>
    </row>
    <row r="387" spans="4:17" x14ac:dyDescent="0.25">
      <c r="D387" s="33"/>
      <c r="E387" s="33">
        <v>357</v>
      </c>
      <c r="F387" s="37"/>
      <c r="G387" s="37"/>
      <c r="H387" s="37">
        <f t="shared" si="249"/>
        <v>868800</v>
      </c>
      <c r="I387" s="37">
        <f ca="1">(RANDBETWEEN($E$14,$F$14)*$I$9)+$I$10+$I$18</f>
        <v>-369472.96408399101</v>
      </c>
      <c r="J387" s="37">
        <f ca="1">(RANDBETWEEN($E$14,$F$14)*$J$9)+$J$10+$J$18</f>
        <v>-9238.8910066427197</v>
      </c>
      <c r="K387" s="37">
        <f ca="1">(RANDBETWEEN($E$14,$F$14)*$K$9)+$K$10+$K$18</f>
        <v>24363.532183028292</v>
      </c>
      <c r="L387" s="37">
        <f ca="1">(RANDBETWEEN($E$14,$F$14)*$L$9)+$L$10+$L$18</f>
        <v>999716.39339203853</v>
      </c>
      <c r="M387" s="37">
        <f ca="1">(RANDBETWEEN($E$14,$F$14)*$M$9)+$M$10+$M$18</f>
        <v>1424944.0925515993</v>
      </c>
      <c r="N387" s="37">
        <f t="shared" ref="N387" ca="1" si="351">NPV($E$23+$F$23,H387:M387)+$H$4</f>
        <v>1291369.9127910445</v>
      </c>
    </row>
    <row r="388" spans="4:17" x14ac:dyDescent="0.25">
      <c r="D388" s="33"/>
      <c r="E388" s="33">
        <v>358</v>
      </c>
      <c r="F388" s="37"/>
      <c r="G388" s="37"/>
      <c r="H388" s="37">
        <f t="shared" si="249"/>
        <v>868800</v>
      </c>
      <c r="I388" s="37">
        <f ca="1">(RANDBETWEEN($E$14,$F$14)*$I$9)+$I$10+$I$18</f>
        <v>-369472.96408399101</v>
      </c>
      <c r="J388" s="37">
        <f ca="1">(RANDBETWEEN($E$14,$F$14)*$J$9)+$J$10+$J$18</f>
        <v>-9238.8910066427197</v>
      </c>
      <c r="K388" s="37">
        <f ca="1">(RANDBETWEEN($E$14,$F$14)*$K$9)+$K$10+$K$18</f>
        <v>260393.25392346107</v>
      </c>
      <c r="L388" s="37">
        <f ca="1">(RANDBETWEEN($E$14,$F$14)*$L$9)+$L$10+$L$18</f>
        <v>671221.40421803342</v>
      </c>
      <c r="M388" s="37">
        <f ca="1">(RANDBETWEEN($E$14,$F$14)*$M$9)+$M$10+$M$18</f>
        <v>1043245.7659826493</v>
      </c>
      <c r="N388" s="37">
        <f t="shared" ref="N388" ca="1" si="352">NPV($E$23+$F$23,H388:M388)+$H$4</f>
        <v>943338.56126354542</v>
      </c>
    </row>
    <row r="389" spans="4:17" x14ac:dyDescent="0.25">
      <c r="D389" s="33"/>
      <c r="E389" s="33">
        <v>359</v>
      </c>
      <c r="F389" s="37"/>
      <c r="G389" s="37"/>
      <c r="H389" s="37">
        <f t="shared" si="249"/>
        <v>868800</v>
      </c>
      <c r="I389" s="37">
        <f ca="1">(RANDBETWEEN($E$14,$F$14)*$I$9)+$I$10+$I$18</f>
        <v>-189819.59895313275</v>
      </c>
      <c r="J389" s="37">
        <f ca="1">(RANDBETWEEN($E$14,$F$14)*$J$9)+$J$10+$J$18</f>
        <v>-9238.8910066427197</v>
      </c>
      <c r="K389" s="37">
        <f ca="1">(RANDBETWEEN($E$14,$F$14)*$K$9)+$K$10+$K$18</f>
        <v>260393.25392346107</v>
      </c>
      <c r="L389" s="37">
        <f ca="1">(RANDBETWEEN($E$14,$F$14)*$L$9)+$L$10+$L$18</f>
        <v>671221.40421803342</v>
      </c>
      <c r="M389" s="37">
        <f ca="1">(RANDBETWEEN($E$14,$F$14)*$M$9)+$M$10+$M$18</f>
        <v>1043245.7659826493</v>
      </c>
      <c r="N389" s="37">
        <f t="shared" ref="N389" ca="1" si="353">NPV($E$23+$F$23,H389:M389)+$H$4</f>
        <v>1106289.4593414213</v>
      </c>
    </row>
    <row r="390" spans="4:17" x14ac:dyDescent="0.25">
      <c r="D390" s="33"/>
      <c r="E390" s="33">
        <v>360</v>
      </c>
      <c r="F390" s="37"/>
      <c r="G390" s="37"/>
      <c r="H390" s="37">
        <f t="shared" si="249"/>
        <v>868800</v>
      </c>
      <c r="I390" s="37">
        <f ca="1">(RANDBETWEEN($E$14,$F$14)*$I$9)+$I$10+$I$18</f>
        <v>-369472.96408399101</v>
      </c>
      <c r="J390" s="37">
        <f ca="1">(RANDBETWEEN($E$14,$F$14)*$J$9)+$J$10+$J$18</f>
        <v>-9238.8910066427197</v>
      </c>
      <c r="K390" s="37">
        <f ca="1">(RANDBETWEEN($E$14,$F$14)*$K$9)+$K$10+$K$18</f>
        <v>260393.25392346107</v>
      </c>
      <c r="L390" s="37">
        <f ca="1">(RANDBETWEEN($E$14,$F$14)*$L$9)+$L$10+$L$18</f>
        <v>671221.40421803342</v>
      </c>
      <c r="M390" s="37">
        <f ca="1">(RANDBETWEEN($E$14,$F$14)*$M$9)+$M$10+$M$18</f>
        <v>1043245.7659826493</v>
      </c>
      <c r="N390" s="37">
        <f t="shared" ref="N390" ca="1" si="354">NPV($E$23+$F$23,H390:M390)+$H$4</f>
        <v>943338.56126354542</v>
      </c>
    </row>
    <row r="391" spans="4:17" x14ac:dyDescent="0.25">
      <c r="D391" s="33"/>
      <c r="E391" s="33">
        <v>361</v>
      </c>
      <c r="F391" s="37"/>
      <c r="G391" s="37"/>
      <c r="H391" s="37">
        <f t="shared" si="249"/>
        <v>868800</v>
      </c>
      <c r="I391" s="37">
        <f ca="1">(RANDBETWEEN($E$14,$F$14)*$I$9)+$I$10+$I$18</f>
        <v>-369472.96408399101</v>
      </c>
      <c r="J391" s="37">
        <f ca="1">(RANDBETWEEN($E$14,$F$14)*$J$9)+$J$10+$J$18</f>
        <v>221933.48456383706</v>
      </c>
      <c r="K391" s="37">
        <f ca="1">(RANDBETWEEN($E$14,$F$14)*$K$9)+$K$10+$K$18</f>
        <v>260393.25392346107</v>
      </c>
      <c r="L391" s="37">
        <f ca="1">(RANDBETWEEN($E$14,$F$14)*$L$9)+$L$10+$L$18</f>
        <v>999716.39339203853</v>
      </c>
      <c r="M391" s="37">
        <f ca="1">(RANDBETWEEN($E$14,$F$14)*$M$9)+$M$10+$M$18</f>
        <v>1424944.0925515993</v>
      </c>
      <c r="N391" s="37">
        <f t="shared" ref="N391" ca="1" si="355">NPV($E$23+$F$23,H391:M391)+$H$4</f>
        <v>1685247.5387509572</v>
      </c>
    </row>
    <row r="392" spans="4:17" x14ac:dyDescent="0.25">
      <c r="D392" s="33"/>
      <c r="E392" s="33">
        <v>362</v>
      </c>
      <c r="F392" s="37"/>
      <c r="G392" s="37"/>
      <c r="H392" s="37">
        <f t="shared" si="249"/>
        <v>868800</v>
      </c>
      <c r="I392" s="37">
        <f ca="1">(RANDBETWEEN($E$14,$F$14)*$I$9)+$I$10+$I$18</f>
        <v>-369472.96408399101</v>
      </c>
      <c r="J392" s="37">
        <f ca="1">(RANDBETWEEN($E$14,$F$14)*$J$9)+$J$10+$J$18</f>
        <v>-9238.8910066427197</v>
      </c>
      <c r="K392" s="37">
        <f ca="1">(RANDBETWEEN($E$14,$F$14)*$K$9)+$K$10+$K$18</f>
        <v>260393.25392346107</v>
      </c>
      <c r="L392" s="37">
        <f ca="1">(RANDBETWEEN($E$14,$F$14)*$L$9)+$L$10+$L$18</f>
        <v>999716.39339203853</v>
      </c>
      <c r="M392" s="37">
        <f ca="1">(RANDBETWEEN($E$14,$F$14)*$M$9)+$M$10+$M$18</f>
        <v>1424944.0925515993</v>
      </c>
      <c r="N392" s="37">
        <f t="shared" ref="N392" ca="1" si="356">NPV($E$23+$F$23,H392:M392)+$H$4</f>
        <v>1485552.1489913375</v>
      </c>
    </row>
    <row r="393" spans="4:17" x14ac:dyDescent="0.25">
      <c r="D393" s="33"/>
      <c r="E393" s="33">
        <v>363</v>
      </c>
      <c r="F393" s="37"/>
      <c r="G393" s="37"/>
      <c r="H393" s="37">
        <f t="shared" si="249"/>
        <v>868800</v>
      </c>
      <c r="I393" s="37">
        <f ca="1">(RANDBETWEEN($E$14,$F$14)*$I$9)+$I$10+$I$18</f>
        <v>-189819.59895313275</v>
      </c>
      <c r="J393" s="37">
        <f ca="1">(RANDBETWEEN($E$14,$F$14)*$J$9)+$J$10+$J$18</f>
        <v>-9238.8910066427197</v>
      </c>
      <c r="K393" s="37">
        <f ca="1">(RANDBETWEEN($E$14,$F$14)*$K$9)+$K$10+$K$18</f>
        <v>260393.25392346107</v>
      </c>
      <c r="L393" s="37">
        <f ca="1">(RANDBETWEEN($E$14,$F$14)*$L$9)+$L$10+$L$18</f>
        <v>999716.39339203853</v>
      </c>
      <c r="M393" s="37">
        <f ca="1">(RANDBETWEEN($E$14,$F$14)*$M$9)+$M$10+$M$18</f>
        <v>1043245.7659826493</v>
      </c>
      <c r="N393" s="37">
        <f t="shared" ref="N393" ca="1" si="357">NPV($E$23+$F$23,H393:M393)+$H$4</f>
        <v>1363673.8789130282</v>
      </c>
      <c r="Q393" s="37"/>
    </row>
    <row r="394" spans="4:17" x14ac:dyDescent="0.25">
      <c r="D394" s="33"/>
      <c r="E394" s="33">
        <v>364</v>
      </c>
      <c r="F394" s="37"/>
      <c r="G394" s="37"/>
      <c r="H394" s="37">
        <f t="shared" si="249"/>
        <v>868800</v>
      </c>
      <c r="I394" s="37">
        <f ca="1">(RANDBETWEEN($E$14,$F$14)*$I$9)+$I$10+$I$18</f>
        <v>-369472.96408399101</v>
      </c>
      <c r="J394" s="37">
        <f ca="1">(RANDBETWEEN($E$14,$F$14)*$J$9)+$J$10+$J$18</f>
        <v>221933.48456383706</v>
      </c>
      <c r="K394" s="37">
        <f ca="1">(RANDBETWEEN($E$14,$F$14)*$K$9)+$K$10+$K$18</f>
        <v>24363.532183028292</v>
      </c>
      <c r="L394" s="37">
        <f ca="1">(RANDBETWEEN($E$14,$F$14)*$L$9)+$L$10+$L$18</f>
        <v>671221.40421803342</v>
      </c>
      <c r="M394" s="37">
        <f ca="1">(RANDBETWEEN($E$14,$F$14)*$M$9)+$M$10+$M$18</f>
        <v>1424944.0925515993</v>
      </c>
      <c r="N394" s="37">
        <f t="shared" ref="N394" ca="1" si="358">NPV($E$23+$F$23,H394:M394)+$H$4</f>
        <v>1233680.8829790577</v>
      </c>
    </row>
    <row r="395" spans="4:17" x14ac:dyDescent="0.25">
      <c r="D395" s="33"/>
      <c r="E395" s="33">
        <v>365</v>
      </c>
      <c r="F395" s="37"/>
      <c r="G395" s="37"/>
      <c r="H395" s="37">
        <f t="shared" si="249"/>
        <v>868800</v>
      </c>
      <c r="I395" s="37">
        <f ca="1">(RANDBETWEEN($E$14,$F$14)*$I$9)+$I$10+$I$18</f>
        <v>-369472.96408399101</v>
      </c>
      <c r="J395" s="37">
        <f ca="1">(RANDBETWEEN($E$14,$F$14)*$J$9)+$J$10+$J$18</f>
        <v>221933.48456383706</v>
      </c>
      <c r="K395" s="37">
        <f ca="1">(RANDBETWEEN($E$14,$F$14)*$K$9)+$K$10+$K$18</f>
        <v>260393.25392346107</v>
      </c>
      <c r="L395" s="37">
        <f ca="1">(RANDBETWEEN($E$14,$F$14)*$L$9)+$L$10+$L$18</f>
        <v>671221.40421803342</v>
      </c>
      <c r="M395" s="37">
        <f ca="1">(RANDBETWEEN($E$14,$F$14)*$M$9)+$M$10+$M$18</f>
        <v>1043245.7659826493</v>
      </c>
      <c r="N395" s="37">
        <f t="shared" ref="N395" ca="1" si="359">NPV($E$23+$F$23,H395:M395)+$H$4</f>
        <v>1143033.9510231656</v>
      </c>
    </row>
    <row r="396" spans="4:17" x14ac:dyDescent="0.25">
      <c r="D396" s="33"/>
      <c r="E396" s="33">
        <v>366</v>
      </c>
      <c r="F396" s="37"/>
      <c r="G396" s="37"/>
      <c r="H396" s="37">
        <f t="shared" si="249"/>
        <v>868800</v>
      </c>
      <c r="I396" s="37">
        <f ca="1">(RANDBETWEEN($E$14,$F$14)*$I$9)+$I$10+$I$18</f>
        <v>-189819.59895313275</v>
      </c>
      <c r="J396" s="37">
        <f ca="1">(RANDBETWEEN($E$14,$F$14)*$J$9)+$J$10+$J$18</f>
        <v>221933.48456383706</v>
      </c>
      <c r="K396" s="37">
        <f ca="1">(RANDBETWEEN($E$14,$F$14)*$K$9)+$K$10+$K$18</f>
        <v>24363.532183028292</v>
      </c>
      <c r="L396" s="37">
        <f ca="1">(RANDBETWEEN($E$14,$F$14)*$L$9)+$L$10+$L$18</f>
        <v>671221.40421803342</v>
      </c>
      <c r="M396" s="37">
        <f ca="1">(RANDBETWEEN($E$14,$F$14)*$M$9)+$M$10+$M$18</f>
        <v>1424944.0925515993</v>
      </c>
      <c r="N396" s="37">
        <f t="shared" ref="N396" ca="1" si="360">NPV($E$23+$F$23,H396:M396)+$H$4</f>
        <v>1396631.7810569336</v>
      </c>
    </row>
    <row r="397" spans="4:17" x14ac:dyDescent="0.25">
      <c r="D397" s="33"/>
      <c r="E397" s="33">
        <v>367</v>
      </c>
      <c r="F397" s="37"/>
      <c r="G397" s="37"/>
      <c r="H397" s="37">
        <f t="shared" si="249"/>
        <v>868800</v>
      </c>
      <c r="I397" s="37">
        <f ca="1">(RANDBETWEEN($E$14,$F$14)*$I$9)+$I$10+$I$18</f>
        <v>-189819.59895313275</v>
      </c>
      <c r="J397" s="37">
        <f ca="1">(RANDBETWEEN($E$14,$F$14)*$J$9)+$J$10+$J$18</f>
        <v>221933.48456383706</v>
      </c>
      <c r="K397" s="37">
        <f ca="1">(RANDBETWEEN($E$14,$F$14)*$K$9)+$K$10+$K$18</f>
        <v>260393.25392346107</v>
      </c>
      <c r="L397" s="37">
        <f ca="1">(RANDBETWEEN($E$14,$F$14)*$L$9)+$L$10+$L$18</f>
        <v>999716.39339203853</v>
      </c>
      <c r="M397" s="37">
        <f ca="1">(RANDBETWEEN($E$14,$F$14)*$M$9)+$M$10+$M$18</f>
        <v>1424944.0925515993</v>
      </c>
      <c r="N397" s="37">
        <f t="shared" ref="N397" ca="1" si="361">NPV($E$23+$F$23,H397:M397)+$H$4</f>
        <v>1848198.4368288331</v>
      </c>
    </row>
    <row r="398" spans="4:17" x14ac:dyDescent="0.25">
      <c r="D398" s="33"/>
      <c r="E398" s="33">
        <v>368</v>
      </c>
      <c r="F398" s="37"/>
      <c r="G398" s="37"/>
      <c r="H398" s="37">
        <f t="shared" si="249"/>
        <v>868800</v>
      </c>
      <c r="I398" s="37">
        <f ca="1">(RANDBETWEEN($E$14,$F$14)*$I$9)+$I$10+$I$18</f>
        <v>-369472.96408399101</v>
      </c>
      <c r="J398" s="37">
        <f ca="1">(RANDBETWEEN($E$14,$F$14)*$J$9)+$J$10+$J$18</f>
        <v>221933.48456383706</v>
      </c>
      <c r="K398" s="37">
        <f ca="1">(RANDBETWEEN($E$14,$F$14)*$K$9)+$K$10+$K$18</f>
        <v>24363.532183028292</v>
      </c>
      <c r="L398" s="37">
        <f ca="1">(RANDBETWEEN($E$14,$F$14)*$L$9)+$L$10+$L$18</f>
        <v>671221.40421803342</v>
      </c>
      <c r="M398" s="37">
        <f ca="1">(RANDBETWEEN($E$14,$F$14)*$M$9)+$M$10+$M$18</f>
        <v>1043245.7659826493</v>
      </c>
      <c r="N398" s="37">
        <f t="shared" ref="N398" ca="1" si="362">NPV($E$23+$F$23,H398:M398)+$H$4</f>
        <v>948851.71482287208</v>
      </c>
    </row>
    <row r="399" spans="4:17" x14ac:dyDescent="0.25">
      <c r="D399" s="33"/>
      <c r="E399" s="33">
        <v>369</v>
      </c>
      <c r="F399" s="37"/>
      <c r="G399" s="37"/>
      <c r="H399" s="37">
        <f t="shared" si="249"/>
        <v>868800</v>
      </c>
      <c r="I399" s="37">
        <f ca="1">(RANDBETWEEN($E$14,$F$14)*$I$9)+$I$10+$I$18</f>
        <v>-189819.59895313275</v>
      </c>
      <c r="J399" s="37">
        <f ca="1">(RANDBETWEEN($E$14,$F$14)*$J$9)+$J$10+$J$18</f>
        <v>221933.48456383706</v>
      </c>
      <c r="K399" s="37">
        <f ca="1">(RANDBETWEEN($E$14,$F$14)*$K$9)+$K$10+$K$18</f>
        <v>24363.532183028292</v>
      </c>
      <c r="L399" s="37">
        <f ca="1">(RANDBETWEEN($E$14,$F$14)*$L$9)+$L$10+$L$18</f>
        <v>999716.39339203853</v>
      </c>
      <c r="M399" s="37">
        <f ca="1">(RANDBETWEEN($E$14,$F$14)*$M$9)+$M$10+$M$18</f>
        <v>1043245.7659826493</v>
      </c>
      <c r="N399" s="37">
        <f t="shared" ref="N399" ca="1" si="363">NPV($E$23+$F$23,H399:M399)+$H$4</f>
        <v>1369187.0324723539</v>
      </c>
    </row>
    <row r="400" spans="4:17" x14ac:dyDescent="0.25">
      <c r="D400" s="33"/>
      <c r="E400" s="33">
        <v>370</v>
      </c>
      <c r="F400" s="37"/>
      <c r="G400" s="37"/>
      <c r="H400" s="37">
        <f t="shared" si="249"/>
        <v>868800</v>
      </c>
      <c r="I400" s="37">
        <f ca="1">(RANDBETWEEN($E$14,$F$14)*$I$9)+$I$10+$I$18</f>
        <v>-189819.59895313275</v>
      </c>
      <c r="J400" s="37">
        <f ca="1">(RANDBETWEEN($E$14,$F$14)*$J$9)+$J$10+$J$18</f>
        <v>221933.48456383706</v>
      </c>
      <c r="K400" s="37">
        <f ca="1">(RANDBETWEEN($E$14,$F$14)*$K$9)+$K$10+$K$18</f>
        <v>24363.532183028292</v>
      </c>
      <c r="L400" s="37">
        <f ca="1">(RANDBETWEEN($E$14,$F$14)*$L$9)+$L$10+$L$18</f>
        <v>999716.39339203853</v>
      </c>
      <c r="M400" s="37">
        <f ca="1">(RANDBETWEEN($E$14,$F$14)*$M$9)+$M$10+$M$18</f>
        <v>1424944.0925515993</v>
      </c>
      <c r="N400" s="37">
        <f t="shared" ref="N400" ca="1" si="364">NPV($E$23+$F$23,H400:M400)+$H$4</f>
        <v>1654016.20062854</v>
      </c>
    </row>
    <row r="401" spans="4:17" x14ac:dyDescent="0.25">
      <c r="D401" s="33"/>
      <c r="E401" s="33">
        <v>371</v>
      </c>
      <c r="F401" s="37"/>
      <c r="G401" s="37"/>
      <c r="H401" s="37">
        <f t="shared" si="249"/>
        <v>868800</v>
      </c>
      <c r="I401" s="37">
        <f ca="1">(RANDBETWEEN($E$14,$F$14)*$I$9)+$I$10+$I$18</f>
        <v>-369472.96408399101</v>
      </c>
      <c r="J401" s="37">
        <f ca="1">(RANDBETWEEN($E$14,$F$14)*$J$9)+$J$10+$J$18</f>
        <v>-9238.8910066427197</v>
      </c>
      <c r="K401" s="37">
        <f ca="1">(RANDBETWEEN($E$14,$F$14)*$K$9)+$K$10+$K$18</f>
        <v>260393.25392346107</v>
      </c>
      <c r="L401" s="37">
        <f ca="1">(RANDBETWEEN($E$14,$F$14)*$L$9)+$L$10+$L$18</f>
        <v>999716.39339203853</v>
      </c>
      <c r="M401" s="37">
        <f ca="1">(RANDBETWEEN($E$14,$F$14)*$M$9)+$M$10+$M$18</f>
        <v>1424944.0925515993</v>
      </c>
      <c r="N401" s="37">
        <f t="shared" ref="N401" ca="1" si="365">NPV($E$23+$F$23,H401:M401)+$H$4</f>
        <v>1485552.1489913375</v>
      </c>
    </row>
    <row r="402" spans="4:17" x14ac:dyDescent="0.25">
      <c r="D402" s="33"/>
      <c r="E402" s="33">
        <v>372</v>
      </c>
      <c r="F402" s="37"/>
      <c r="G402" s="37"/>
      <c r="H402" s="37">
        <f t="shared" si="249"/>
        <v>868800</v>
      </c>
      <c r="I402" s="37">
        <f ca="1">(RANDBETWEEN($E$14,$F$14)*$I$9)+$I$10+$I$18</f>
        <v>-189819.59895313275</v>
      </c>
      <c r="J402" s="37">
        <f ca="1">(RANDBETWEEN($E$14,$F$14)*$J$9)+$J$10+$J$18</f>
        <v>-9238.8910066427197</v>
      </c>
      <c r="K402" s="37">
        <f ca="1">(RANDBETWEEN($E$14,$F$14)*$K$9)+$K$10+$K$18</f>
        <v>260393.25392346107</v>
      </c>
      <c r="L402" s="37">
        <f ca="1">(RANDBETWEEN($E$14,$F$14)*$L$9)+$L$10+$L$18</f>
        <v>999716.39339203853</v>
      </c>
      <c r="M402" s="37">
        <f ca="1">(RANDBETWEEN($E$14,$F$14)*$M$9)+$M$10+$M$18</f>
        <v>1424944.0925515993</v>
      </c>
      <c r="N402" s="37">
        <f t="shared" ref="N402" ca="1" si="366">NPV($E$23+$F$23,H402:M402)+$H$4</f>
        <v>1648503.0470692138</v>
      </c>
    </row>
    <row r="403" spans="4:17" x14ac:dyDescent="0.25">
      <c r="D403" s="33"/>
      <c r="E403" s="33">
        <v>373</v>
      </c>
      <c r="F403" s="37"/>
      <c r="G403" s="37"/>
      <c r="H403" s="37">
        <f t="shared" si="249"/>
        <v>868800</v>
      </c>
      <c r="I403" s="37">
        <f ca="1">(RANDBETWEEN($E$14,$F$14)*$I$9)+$I$10+$I$18</f>
        <v>-189819.59895313275</v>
      </c>
      <c r="J403" s="37">
        <f ca="1">(RANDBETWEEN($E$14,$F$14)*$J$9)+$J$10+$J$18</f>
        <v>221933.48456383706</v>
      </c>
      <c r="K403" s="37">
        <f ca="1">(RANDBETWEEN($E$14,$F$14)*$K$9)+$K$10+$K$18</f>
        <v>260393.25392346107</v>
      </c>
      <c r="L403" s="37">
        <f ca="1">(RANDBETWEEN($E$14,$F$14)*$L$9)+$L$10+$L$18</f>
        <v>671221.40421803342</v>
      </c>
      <c r="M403" s="37">
        <f ca="1">(RANDBETWEEN($E$14,$F$14)*$M$9)+$M$10+$M$18</f>
        <v>1424944.0925515993</v>
      </c>
      <c r="N403" s="37">
        <f t="shared" ref="N403" ca="1" si="367">NPV($E$23+$F$23,H403:M403)+$H$4</f>
        <v>1590814.0172572271</v>
      </c>
    </row>
    <row r="404" spans="4:17" x14ac:dyDescent="0.25">
      <c r="D404" s="33"/>
      <c r="E404" s="33">
        <v>374</v>
      </c>
      <c r="F404" s="37"/>
      <c r="G404" s="37"/>
      <c r="H404" s="37">
        <f t="shared" si="249"/>
        <v>868800</v>
      </c>
      <c r="I404" s="37">
        <f ca="1">(RANDBETWEEN($E$14,$F$14)*$I$9)+$I$10+$I$18</f>
        <v>-189819.59895313275</v>
      </c>
      <c r="J404" s="37">
        <f ca="1">(RANDBETWEEN($E$14,$F$14)*$J$9)+$J$10+$J$18</f>
        <v>221933.48456383706</v>
      </c>
      <c r="K404" s="37">
        <f ca="1">(RANDBETWEEN($E$14,$F$14)*$K$9)+$K$10+$K$18</f>
        <v>24363.532183028292</v>
      </c>
      <c r="L404" s="37">
        <f ca="1">(RANDBETWEEN($E$14,$F$14)*$L$9)+$L$10+$L$18</f>
        <v>671221.40421803342</v>
      </c>
      <c r="M404" s="37">
        <f ca="1">(RANDBETWEEN($E$14,$F$14)*$M$9)+$M$10+$M$18</f>
        <v>1043245.7659826493</v>
      </c>
      <c r="N404" s="37">
        <f t="shared" ref="N404" ca="1" si="368">NPV($E$23+$F$23,H404:M404)+$H$4</f>
        <v>1111802.6129007479</v>
      </c>
    </row>
    <row r="405" spans="4:17" x14ac:dyDescent="0.25">
      <c r="D405" s="33"/>
      <c r="E405" s="33">
        <v>375</v>
      </c>
      <c r="F405" s="37"/>
      <c r="G405" s="37"/>
      <c r="H405" s="37">
        <f t="shared" si="249"/>
        <v>868800</v>
      </c>
      <c r="I405" s="37">
        <f ca="1">(RANDBETWEEN($E$14,$F$14)*$I$9)+$I$10+$I$18</f>
        <v>-189819.59895313275</v>
      </c>
      <c r="J405" s="37">
        <f ca="1">(RANDBETWEEN($E$14,$F$14)*$J$9)+$J$10+$J$18</f>
        <v>221933.48456383706</v>
      </c>
      <c r="K405" s="37">
        <f ca="1">(RANDBETWEEN($E$14,$F$14)*$K$9)+$K$10+$K$18</f>
        <v>260393.25392346107</v>
      </c>
      <c r="L405" s="37">
        <f ca="1">(RANDBETWEEN($E$14,$F$14)*$L$9)+$L$10+$L$18</f>
        <v>671221.40421803342</v>
      </c>
      <c r="M405" s="37">
        <f ca="1">(RANDBETWEEN($E$14,$F$14)*$M$9)+$M$10+$M$18</f>
        <v>1043245.7659826493</v>
      </c>
      <c r="N405" s="37">
        <f t="shared" ref="N405" ca="1" si="369">NPV($E$23+$F$23,H405:M405)+$H$4</f>
        <v>1305984.8491010414</v>
      </c>
      <c r="Q405" s="37"/>
    </row>
    <row r="406" spans="4:17" x14ac:dyDescent="0.25">
      <c r="D406" s="33"/>
      <c r="E406" s="33">
        <v>376</v>
      </c>
      <c r="F406" s="37"/>
      <c r="G406" s="37"/>
      <c r="H406" s="37">
        <f t="shared" si="249"/>
        <v>868800</v>
      </c>
      <c r="I406" s="37">
        <f ca="1">(RANDBETWEEN($E$14,$F$14)*$I$9)+$I$10+$I$18</f>
        <v>-369472.96408399101</v>
      </c>
      <c r="J406" s="37">
        <f ca="1">(RANDBETWEEN($E$14,$F$14)*$J$9)+$J$10+$J$18</f>
        <v>221933.48456383706</v>
      </c>
      <c r="K406" s="37">
        <f ca="1">(RANDBETWEEN($E$14,$F$14)*$K$9)+$K$10+$K$18</f>
        <v>260393.25392346107</v>
      </c>
      <c r="L406" s="37">
        <f ca="1">(RANDBETWEEN($E$14,$F$14)*$L$9)+$L$10+$L$18</f>
        <v>999716.39339203853</v>
      </c>
      <c r="M406" s="37">
        <f ca="1">(RANDBETWEEN($E$14,$F$14)*$M$9)+$M$10+$M$18</f>
        <v>1424944.0925515993</v>
      </c>
      <c r="N406" s="37">
        <f t="shared" ref="N406" ca="1" si="370">NPV($E$23+$F$23,H406:M406)+$H$4</f>
        <v>1685247.5387509572</v>
      </c>
    </row>
    <row r="407" spans="4:17" x14ac:dyDescent="0.25">
      <c r="D407" s="33"/>
      <c r="E407" s="33">
        <v>377</v>
      </c>
      <c r="F407" s="37"/>
      <c r="G407" s="37"/>
      <c r="H407" s="37">
        <f t="shared" si="249"/>
        <v>868800</v>
      </c>
      <c r="I407" s="37">
        <f ca="1">(RANDBETWEEN($E$14,$F$14)*$I$9)+$I$10+$I$18</f>
        <v>-189819.59895313275</v>
      </c>
      <c r="J407" s="37">
        <f ca="1">(RANDBETWEEN($E$14,$F$14)*$J$9)+$J$10+$J$18</f>
        <v>221933.48456383706</v>
      </c>
      <c r="K407" s="37">
        <f ca="1">(RANDBETWEEN($E$14,$F$14)*$K$9)+$K$10+$K$18</f>
        <v>260393.25392346107</v>
      </c>
      <c r="L407" s="37">
        <f ca="1">(RANDBETWEEN($E$14,$F$14)*$L$9)+$L$10+$L$18</f>
        <v>671221.40421803342</v>
      </c>
      <c r="M407" s="37">
        <f ca="1">(RANDBETWEEN($E$14,$F$14)*$M$9)+$M$10+$M$18</f>
        <v>1043245.7659826493</v>
      </c>
      <c r="N407" s="37">
        <f t="shared" ref="N407" ca="1" si="371">NPV($E$23+$F$23,H407:M407)+$H$4</f>
        <v>1305984.8491010414</v>
      </c>
    </row>
    <row r="408" spans="4:17" x14ac:dyDescent="0.25">
      <c r="D408" s="33"/>
      <c r="E408" s="33">
        <v>378</v>
      </c>
      <c r="F408" s="37"/>
      <c r="G408" s="37"/>
      <c r="H408" s="37">
        <f t="shared" si="249"/>
        <v>868800</v>
      </c>
      <c r="I408" s="37">
        <f ca="1">(RANDBETWEEN($E$14,$F$14)*$I$9)+$I$10+$I$18</f>
        <v>-189819.59895313275</v>
      </c>
      <c r="J408" s="37">
        <f ca="1">(RANDBETWEEN($E$14,$F$14)*$J$9)+$J$10+$J$18</f>
        <v>-9238.8910066427197</v>
      </c>
      <c r="K408" s="37">
        <f ca="1">(RANDBETWEEN($E$14,$F$14)*$K$9)+$K$10+$K$18</f>
        <v>24363.532183028292</v>
      </c>
      <c r="L408" s="37">
        <f ca="1">(RANDBETWEEN($E$14,$F$14)*$L$9)+$L$10+$L$18</f>
        <v>999716.39339203853</v>
      </c>
      <c r="M408" s="37">
        <f ca="1">(RANDBETWEEN($E$14,$F$14)*$M$9)+$M$10+$M$18</f>
        <v>1043245.7659826493</v>
      </c>
      <c r="N408" s="37">
        <f t="shared" ref="N408" ca="1" si="372">NPV($E$23+$F$23,H408:M408)+$H$4</f>
        <v>1169491.6427127346</v>
      </c>
    </row>
    <row r="409" spans="4:17" x14ac:dyDescent="0.25">
      <c r="D409" s="33"/>
      <c r="E409" s="33">
        <v>379</v>
      </c>
      <c r="F409" s="37"/>
      <c r="G409" s="37"/>
      <c r="H409" s="37">
        <f t="shared" si="249"/>
        <v>868800</v>
      </c>
      <c r="I409" s="37">
        <f ca="1">(RANDBETWEEN($E$14,$F$14)*$I$9)+$I$10+$I$18</f>
        <v>-369472.96408399101</v>
      </c>
      <c r="J409" s="37">
        <f ca="1">(RANDBETWEEN($E$14,$F$14)*$J$9)+$J$10+$J$18</f>
        <v>-9238.8910066427197</v>
      </c>
      <c r="K409" s="37">
        <f ca="1">(RANDBETWEEN($E$14,$F$14)*$K$9)+$K$10+$K$18</f>
        <v>24363.532183028292</v>
      </c>
      <c r="L409" s="37">
        <f ca="1">(RANDBETWEEN($E$14,$F$14)*$L$9)+$L$10+$L$18</f>
        <v>671221.40421803342</v>
      </c>
      <c r="M409" s="37">
        <f ca="1">(RANDBETWEEN($E$14,$F$14)*$M$9)+$M$10+$M$18</f>
        <v>1043245.7659826493</v>
      </c>
      <c r="N409" s="37">
        <f t="shared" ref="N409" ca="1" si="373">NPV($E$23+$F$23,H409:M409)+$H$4</f>
        <v>749156.32506325236</v>
      </c>
    </row>
    <row r="410" spans="4:17" x14ac:dyDescent="0.25">
      <c r="D410" s="33"/>
      <c r="E410" s="33">
        <v>380</v>
      </c>
      <c r="F410" s="37"/>
      <c r="G410" s="37"/>
      <c r="H410" s="37">
        <f t="shared" si="249"/>
        <v>868800</v>
      </c>
      <c r="I410" s="37">
        <f ca="1">(RANDBETWEEN($E$14,$F$14)*$I$9)+$I$10+$I$18</f>
        <v>-369472.96408399101</v>
      </c>
      <c r="J410" s="37">
        <f ca="1">(RANDBETWEEN($E$14,$F$14)*$J$9)+$J$10+$J$18</f>
        <v>-9238.8910066427197</v>
      </c>
      <c r="K410" s="37">
        <f ca="1">(RANDBETWEEN($E$14,$F$14)*$K$9)+$K$10+$K$18</f>
        <v>260393.25392346107</v>
      </c>
      <c r="L410" s="37">
        <f ca="1">(RANDBETWEEN($E$14,$F$14)*$L$9)+$L$10+$L$18</f>
        <v>999716.39339203853</v>
      </c>
      <c r="M410" s="37">
        <f ca="1">(RANDBETWEEN($E$14,$F$14)*$M$9)+$M$10+$M$18</f>
        <v>1424944.0925515993</v>
      </c>
      <c r="N410" s="37">
        <f t="shared" ref="N410" ca="1" si="374">NPV($E$23+$F$23,H410:M410)+$H$4</f>
        <v>1485552.1489913375</v>
      </c>
      <c r="Q410" s="37"/>
    </row>
    <row r="411" spans="4:17" x14ac:dyDescent="0.25">
      <c r="D411" s="33"/>
      <c r="E411" s="33">
        <v>381</v>
      </c>
      <c r="F411" s="37"/>
      <c r="G411" s="37"/>
      <c r="H411" s="37">
        <f t="shared" si="249"/>
        <v>868800</v>
      </c>
      <c r="I411" s="37">
        <f ca="1">(RANDBETWEEN($E$14,$F$14)*$I$9)+$I$10+$I$18</f>
        <v>-369472.96408399101</v>
      </c>
      <c r="J411" s="37">
        <f ca="1">(RANDBETWEEN($E$14,$F$14)*$J$9)+$J$10+$J$18</f>
        <v>221933.48456383706</v>
      </c>
      <c r="K411" s="37">
        <f ca="1">(RANDBETWEEN($E$14,$F$14)*$K$9)+$K$10+$K$18</f>
        <v>24363.532183028292</v>
      </c>
      <c r="L411" s="37">
        <f ca="1">(RANDBETWEEN($E$14,$F$14)*$L$9)+$L$10+$L$18</f>
        <v>671221.40421803342</v>
      </c>
      <c r="M411" s="37">
        <f ca="1">(RANDBETWEEN($E$14,$F$14)*$M$9)+$M$10+$M$18</f>
        <v>1043245.7659826493</v>
      </c>
      <c r="N411" s="37">
        <f t="shared" ref="N411" ca="1" si="375">NPV($E$23+$F$23,H411:M411)+$H$4</f>
        <v>948851.71482287208</v>
      </c>
    </row>
    <row r="412" spans="4:17" x14ac:dyDescent="0.25">
      <c r="D412" s="33"/>
      <c r="E412" s="33">
        <v>382</v>
      </c>
      <c r="F412" s="37"/>
      <c r="G412" s="37"/>
      <c r="H412" s="37">
        <f t="shared" si="249"/>
        <v>868800</v>
      </c>
      <c r="I412" s="37">
        <f ca="1">(RANDBETWEEN($E$14,$F$14)*$I$9)+$I$10+$I$18</f>
        <v>-189819.59895313275</v>
      </c>
      <c r="J412" s="37">
        <f ca="1">(RANDBETWEEN($E$14,$F$14)*$J$9)+$J$10+$J$18</f>
        <v>-9238.8910066427197</v>
      </c>
      <c r="K412" s="37">
        <f ca="1">(RANDBETWEEN($E$14,$F$14)*$K$9)+$K$10+$K$18</f>
        <v>260393.25392346107</v>
      </c>
      <c r="L412" s="37">
        <f ca="1">(RANDBETWEEN($E$14,$F$14)*$L$9)+$L$10+$L$18</f>
        <v>999716.39339203853</v>
      </c>
      <c r="M412" s="37">
        <f ca="1">(RANDBETWEEN($E$14,$F$14)*$M$9)+$M$10+$M$18</f>
        <v>1424944.0925515993</v>
      </c>
      <c r="N412" s="37">
        <f t="shared" ref="N412" ca="1" si="376">NPV($E$23+$F$23,H412:M412)+$H$4</f>
        <v>1648503.0470692138</v>
      </c>
    </row>
    <row r="413" spans="4:17" x14ac:dyDescent="0.25">
      <c r="D413" s="33"/>
      <c r="E413" s="33">
        <v>383</v>
      </c>
      <c r="F413" s="37"/>
      <c r="G413" s="37"/>
      <c r="H413" s="37">
        <f t="shared" si="249"/>
        <v>868800</v>
      </c>
      <c r="I413" s="37">
        <f ca="1">(RANDBETWEEN($E$14,$F$14)*$I$9)+$I$10+$I$18</f>
        <v>-369472.96408399101</v>
      </c>
      <c r="J413" s="37">
        <f ca="1">(RANDBETWEEN($E$14,$F$14)*$J$9)+$J$10+$J$18</f>
        <v>221933.48456383706</v>
      </c>
      <c r="K413" s="37">
        <f ca="1">(RANDBETWEEN($E$14,$F$14)*$K$9)+$K$10+$K$18</f>
        <v>24363.532183028292</v>
      </c>
      <c r="L413" s="37">
        <f ca="1">(RANDBETWEEN($E$14,$F$14)*$L$9)+$L$10+$L$18</f>
        <v>999716.39339203853</v>
      </c>
      <c r="M413" s="37">
        <f ca="1">(RANDBETWEEN($E$14,$F$14)*$M$9)+$M$10+$M$18</f>
        <v>1424944.0925515993</v>
      </c>
      <c r="N413" s="37">
        <f t="shared" ref="N413" ca="1" si="377">NPV($E$23+$F$23,H413:M413)+$H$4</f>
        <v>1491065.3025506642</v>
      </c>
    </row>
    <row r="414" spans="4:17" x14ac:dyDescent="0.25">
      <c r="D414" s="33"/>
      <c r="E414" s="33">
        <v>384</v>
      </c>
      <c r="F414" s="37"/>
      <c r="G414" s="37"/>
      <c r="H414" s="37">
        <f t="shared" si="249"/>
        <v>868800</v>
      </c>
      <c r="I414" s="37">
        <f ca="1">(RANDBETWEEN($E$14,$F$14)*$I$9)+$I$10+$I$18</f>
        <v>-189819.59895313275</v>
      </c>
      <c r="J414" s="37">
        <f ca="1">(RANDBETWEEN($E$14,$F$14)*$J$9)+$J$10+$J$18</f>
        <v>-9238.8910066427197</v>
      </c>
      <c r="K414" s="37">
        <f ca="1">(RANDBETWEEN($E$14,$F$14)*$K$9)+$K$10+$K$18</f>
        <v>24363.532183028292</v>
      </c>
      <c r="L414" s="37">
        <f ca="1">(RANDBETWEEN($E$14,$F$14)*$L$9)+$L$10+$L$18</f>
        <v>671221.40421803342</v>
      </c>
      <c r="M414" s="37">
        <f ca="1">(RANDBETWEEN($E$14,$F$14)*$M$9)+$M$10+$M$18</f>
        <v>1424944.0925515993</v>
      </c>
      <c r="N414" s="37">
        <f t="shared" ref="N414" ca="1" si="378">NPV($E$23+$F$23,H414:M414)+$H$4</f>
        <v>1196936.3912973143</v>
      </c>
    </row>
    <row r="415" spans="4:17" x14ac:dyDescent="0.25">
      <c r="D415" s="33"/>
      <c r="E415" s="33">
        <v>385</v>
      </c>
      <c r="F415" s="37"/>
      <c r="G415" s="37"/>
      <c r="H415" s="37">
        <f t="shared" si="249"/>
        <v>868800</v>
      </c>
      <c r="I415" s="37">
        <f ca="1">(RANDBETWEEN($E$14,$F$14)*$I$9)+$I$10+$I$18</f>
        <v>-189819.59895313275</v>
      </c>
      <c r="J415" s="37">
        <f ca="1">(RANDBETWEEN($E$14,$F$14)*$J$9)+$J$10+$J$18</f>
        <v>-9238.8910066427197</v>
      </c>
      <c r="K415" s="37">
        <f ca="1">(RANDBETWEEN($E$14,$F$14)*$K$9)+$K$10+$K$18</f>
        <v>260393.25392346107</v>
      </c>
      <c r="L415" s="37">
        <f ca="1">(RANDBETWEEN($E$14,$F$14)*$L$9)+$L$10+$L$18</f>
        <v>671221.40421803342</v>
      </c>
      <c r="M415" s="37">
        <f ca="1">(RANDBETWEEN($E$14,$F$14)*$M$9)+$M$10+$M$18</f>
        <v>1424944.0925515993</v>
      </c>
      <c r="N415" s="37">
        <f t="shared" ref="N415" ca="1" si="379">NPV($E$23+$F$23,H415:M415)+$H$4</f>
        <v>1391118.6274976074</v>
      </c>
    </row>
    <row r="416" spans="4:17" x14ac:dyDescent="0.25">
      <c r="D416" s="33"/>
      <c r="E416" s="33">
        <v>386</v>
      </c>
      <c r="F416" s="37"/>
      <c r="G416" s="37"/>
      <c r="H416" s="37">
        <f t="shared" si="249"/>
        <v>868800</v>
      </c>
      <c r="I416" s="37">
        <f ca="1">(RANDBETWEEN($E$14,$F$14)*$I$9)+$I$10+$I$18</f>
        <v>-189819.59895313275</v>
      </c>
      <c r="J416" s="37">
        <f ca="1">(RANDBETWEEN($E$14,$F$14)*$J$9)+$J$10+$J$18</f>
        <v>221933.48456383706</v>
      </c>
      <c r="K416" s="37">
        <f ca="1">(RANDBETWEEN($E$14,$F$14)*$K$9)+$K$10+$K$18</f>
        <v>24363.532183028292</v>
      </c>
      <c r="L416" s="37">
        <f ca="1">(RANDBETWEEN($E$14,$F$14)*$L$9)+$L$10+$L$18</f>
        <v>671221.40421803342</v>
      </c>
      <c r="M416" s="37">
        <f ca="1">(RANDBETWEEN($E$14,$F$14)*$M$9)+$M$10+$M$18</f>
        <v>1424944.0925515993</v>
      </c>
      <c r="N416" s="37">
        <f t="shared" ref="N416" ca="1" si="380">NPV($E$23+$F$23,H416:M416)+$H$4</f>
        <v>1396631.7810569336</v>
      </c>
    </row>
    <row r="417" spans="4:17" x14ac:dyDescent="0.25">
      <c r="D417" s="33"/>
      <c r="E417" s="33">
        <v>387</v>
      </c>
      <c r="F417" s="37"/>
      <c r="G417" s="37"/>
      <c r="H417" s="37">
        <f t="shared" si="249"/>
        <v>868800</v>
      </c>
      <c r="I417" s="37">
        <f ca="1">(RANDBETWEEN($E$14,$F$14)*$I$9)+$I$10+$I$18</f>
        <v>-189819.59895313275</v>
      </c>
      <c r="J417" s="37">
        <f ca="1">(RANDBETWEEN($E$14,$F$14)*$J$9)+$J$10+$J$18</f>
        <v>-9238.8910066427197</v>
      </c>
      <c r="K417" s="37">
        <f ca="1">(RANDBETWEEN($E$14,$F$14)*$K$9)+$K$10+$K$18</f>
        <v>24363.532183028292</v>
      </c>
      <c r="L417" s="37">
        <f ca="1">(RANDBETWEEN($E$14,$F$14)*$L$9)+$L$10+$L$18</f>
        <v>999716.39339203853</v>
      </c>
      <c r="M417" s="37">
        <f ca="1">(RANDBETWEEN($E$14,$F$14)*$M$9)+$M$10+$M$18</f>
        <v>1043245.7659826493</v>
      </c>
      <c r="N417" s="37">
        <f t="shared" ref="N417" ca="1" si="381">NPV($E$23+$F$23,H417:M417)+$H$4</f>
        <v>1169491.6427127346</v>
      </c>
    </row>
    <row r="418" spans="4:17" x14ac:dyDescent="0.25">
      <c r="D418" s="33"/>
      <c r="E418" s="33">
        <v>388</v>
      </c>
      <c r="F418" s="37"/>
      <c r="G418" s="37"/>
      <c r="H418" s="37">
        <f t="shared" si="249"/>
        <v>868800</v>
      </c>
      <c r="I418" s="37">
        <f ca="1">(RANDBETWEEN($E$14,$F$14)*$I$9)+$I$10+$I$18</f>
        <v>-369472.96408399101</v>
      </c>
      <c r="J418" s="37">
        <f ca="1">(RANDBETWEEN($E$14,$F$14)*$J$9)+$J$10+$J$18</f>
        <v>221933.48456383706</v>
      </c>
      <c r="K418" s="37">
        <f ca="1">(RANDBETWEEN($E$14,$F$14)*$K$9)+$K$10+$K$18</f>
        <v>24363.532183028292</v>
      </c>
      <c r="L418" s="37">
        <f ca="1">(RANDBETWEEN($E$14,$F$14)*$L$9)+$L$10+$L$18</f>
        <v>671221.40421803342</v>
      </c>
      <c r="M418" s="37">
        <f ca="1">(RANDBETWEEN($E$14,$F$14)*$M$9)+$M$10+$M$18</f>
        <v>1424944.0925515993</v>
      </c>
      <c r="N418" s="37">
        <f t="shared" ref="N418" ca="1" si="382">NPV($E$23+$F$23,H418:M418)+$H$4</f>
        <v>1233680.8829790577</v>
      </c>
    </row>
    <row r="419" spans="4:17" x14ac:dyDescent="0.25">
      <c r="D419" s="33"/>
      <c r="E419" s="33">
        <v>389</v>
      </c>
      <c r="F419" s="37"/>
      <c r="G419" s="37"/>
      <c r="H419" s="37">
        <f t="shared" si="249"/>
        <v>868800</v>
      </c>
      <c r="I419" s="37">
        <f ca="1">(RANDBETWEEN($E$14,$F$14)*$I$9)+$I$10+$I$18</f>
        <v>-369472.96408399101</v>
      </c>
      <c r="J419" s="37">
        <f ca="1">(RANDBETWEEN($E$14,$F$14)*$J$9)+$J$10+$J$18</f>
        <v>-9238.8910066427197</v>
      </c>
      <c r="K419" s="37">
        <f ca="1">(RANDBETWEEN($E$14,$F$14)*$K$9)+$K$10+$K$18</f>
        <v>24363.532183028292</v>
      </c>
      <c r="L419" s="37">
        <f ca="1">(RANDBETWEEN($E$14,$F$14)*$L$9)+$L$10+$L$18</f>
        <v>999716.39339203853</v>
      </c>
      <c r="M419" s="37">
        <f ca="1">(RANDBETWEEN($E$14,$F$14)*$M$9)+$M$10+$M$18</f>
        <v>1043245.7659826493</v>
      </c>
      <c r="N419" s="37">
        <f t="shared" ref="N419" ca="1" si="383">NPV($E$23+$F$23,H419:M419)+$H$4</f>
        <v>1006540.7446348586</v>
      </c>
      <c r="Q419" s="37"/>
    </row>
    <row r="420" spans="4:17" x14ac:dyDescent="0.25">
      <c r="D420" s="33"/>
      <c r="E420" s="33">
        <v>390</v>
      </c>
      <c r="F420" s="37"/>
      <c r="G420" s="37"/>
      <c r="H420" s="37">
        <f t="shared" si="249"/>
        <v>868800</v>
      </c>
      <c r="I420" s="37">
        <f ca="1">(RANDBETWEEN($E$14,$F$14)*$I$9)+$I$10+$I$18</f>
        <v>-189819.59895313275</v>
      </c>
      <c r="J420" s="37">
        <f ca="1">(RANDBETWEEN($E$14,$F$14)*$J$9)+$J$10+$J$18</f>
        <v>-9238.8910066427197</v>
      </c>
      <c r="K420" s="37">
        <f ca="1">(RANDBETWEEN($E$14,$F$14)*$K$9)+$K$10+$K$18</f>
        <v>24363.532183028292</v>
      </c>
      <c r="L420" s="37">
        <f ca="1">(RANDBETWEEN($E$14,$F$14)*$L$9)+$L$10+$L$18</f>
        <v>671221.40421803342</v>
      </c>
      <c r="M420" s="37">
        <f ca="1">(RANDBETWEEN($E$14,$F$14)*$M$9)+$M$10+$M$18</f>
        <v>1043245.7659826493</v>
      </c>
      <c r="N420" s="37">
        <f t="shared" ref="N420" ca="1" si="384">NPV($E$23+$F$23,H420:M420)+$H$4</f>
        <v>912107.22314112843</v>
      </c>
    </row>
    <row r="421" spans="4:17" x14ac:dyDescent="0.25">
      <c r="D421" s="33"/>
      <c r="E421" s="33">
        <v>391</v>
      </c>
      <c r="F421" s="37"/>
      <c r="G421" s="37"/>
      <c r="H421" s="37">
        <f t="shared" si="249"/>
        <v>868800</v>
      </c>
      <c r="I421" s="37">
        <f ca="1">(RANDBETWEEN($E$14,$F$14)*$I$9)+$I$10+$I$18</f>
        <v>-189819.59895313275</v>
      </c>
      <c r="J421" s="37">
        <f ca="1">(RANDBETWEEN($E$14,$F$14)*$J$9)+$J$10+$J$18</f>
        <v>221933.48456383706</v>
      </c>
      <c r="K421" s="37">
        <f ca="1">(RANDBETWEEN($E$14,$F$14)*$K$9)+$K$10+$K$18</f>
        <v>260393.25392346107</v>
      </c>
      <c r="L421" s="37">
        <f ca="1">(RANDBETWEEN($E$14,$F$14)*$L$9)+$L$10+$L$18</f>
        <v>999716.39339203853</v>
      </c>
      <c r="M421" s="37">
        <f ca="1">(RANDBETWEEN($E$14,$F$14)*$M$9)+$M$10+$M$18</f>
        <v>1424944.0925515993</v>
      </c>
      <c r="N421" s="37">
        <f t="shared" ref="N421" ca="1" si="385">NPV($E$23+$F$23,H421:M421)+$H$4</f>
        <v>1848198.4368288331</v>
      </c>
    </row>
    <row r="422" spans="4:17" x14ac:dyDescent="0.25">
      <c r="D422" s="33"/>
      <c r="E422" s="33">
        <v>392</v>
      </c>
      <c r="F422" s="37"/>
      <c r="G422" s="37"/>
      <c r="H422" s="37">
        <f t="shared" si="249"/>
        <v>868800</v>
      </c>
      <c r="I422" s="37">
        <f ca="1">(RANDBETWEEN($E$14,$F$14)*$I$9)+$I$10+$I$18</f>
        <v>-369472.96408399101</v>
      </c>
      <c r="J422" s="37">
        <f ca="1">(RANDBETWEEN($E$14,$F$14)*$J$9)+$J$10+$J$18</f>
        <v>221933.48456383706</v>
      </c>
      <c r="K422" s="37">
        <f ca="1">(RANDBETWEEN($E$14,$F$14)*$K$9)+$K$10+$K$18</f>
        <v>24363.532183028292</v>
      </c>
      <c r="L422" s="37">
        <f ca="1">(RANDBETWEEN($E$14,$F$14)*$L$9)+$L$10+$L$18</f>
        <v>999716.39339203853</v>
      </c>
      <c r="M422" s="37">
        <f ca="1">(RANDBETWEEN($E$14,$F$14)*$M$9)+$M$10+$M$18</f>
        <v>1043245.7659826493</v>
      </c>
      <c r="N422" s="37">
        <f t="shared" ref="N422" ca="1" si="386">NPV($E$23+$F$23,H422:M422)+$H$4</f>
        <v>1206236.1343944785</v>
      </c>
    </row>
    <row r="423" spans="4:17" x14ac:dyDescent="0.25">
      <c r="D423" s="33"/>
      <c r="E423" s="33">
        <v>393</v>
      </c>
      <c r="F423" s="37"/>
      <c r="G423" s="37"/>
      <c r="H423" s="37">
        <f t="shared" si="249"/>
        <v>868800</v>
      </c>
      <c r="I423" s="37">
        <f ca="1">(RANDBETWEEN($E$14,$F$14)*$I$9)+$I$10+$I$18</f>
        <v>-189819.59895313275</v>
      </c>
      <c r="J423" s="37">
        <f ca="1">(RANDBETWEEN($E$14,$F$14)*$J$9)+$J$10+$J$18</f>
        <v>221933.48456383706</v>
      </c>
      <c r="K423" s="37">
        <f ca="1">(RANDBETWEEN($E$14,$F$14)*$K$9)+$K$10+$K$18</f>
        <v>260393.25392346107</v>
      </c>
      <c r="L423" s="37">
        <f ca="1">(RANDBETWEEN($E$14,$F$14)*$L$9)+$L$10+$L$18</f>
        <v>999716.39339203853</v>
      </c>
      <c r="M423" s="37">
        <f ca="1">(RANDBETWEEN($E$14,$F$14)*$M$9)+$M$10+$M$18</f>
        <v>1424944.0925515993</v>
      </c>
      <c r="N423" s="37">
        <f t="shared" ref="N423" ca="1" si="387">NPV($E$23+$F$23,H423:M423)+$H$4</f>
        <v>1848198.4368288331</v>
      </c>
    </row>
    <row r="424" spans="4:17" x14ac:dyDescent="0.25">
      <c r="D424" s="33"/>
      <c r="E424" s="33">
        <v>394</v>
      </c>
      <c r="F424" s="37"/>
      <c r="G424" s="37"/>
      <c r="H424" s="37">
        <f t="shared" si="249"/>
        <v>868800</v>
      </c>
      <c r="I424" s="37">
        <f ca="1">(RANDBETWEEN($E$14,$F$14)*$I$9)+$I$10+$I$18</f>
        <v>-369472.96408399101</v>
      </c>
      <c r="J424" s="37">
        <f ca="1">(RANDBETWEEN($E$14,$F$14)*$J$9)+$J$10+$J$18</f>
        <v>221933.48456383706</v>
      </c>
      <c r="K424" s="37">
        <f ca="1">(RANDBETWEEN($E$14,$F$14)*$K$9)+$K$10+$K$18</f>
        <v>24363.532183028292</v>
      </c>
      <c r="L424" s="37">
        <f ca="1">(RANDBETWEEN($E$14,$F$14)*$L$9)+$L$10+$L$18</f>
        <v>671221.40421803342</v>
      </c>
      <c r="M424" s="37">
        <f ca="1">(RANDBETWEEN($E$14,$F$14)*$M$9)+$M$10+$M$18</f>
        <v>1424944.0925515993</v>
      </c>
      <c r="N424" s="37">
        <f t="shared" ref="N424" ca="1" si="388">NPV($E$23+$F$23,H424:M424)+$H$4</f>
        <v>1233680.8829790577</v>
      </c>
    </row>
    <row r="425" spans="4:17" x14ac:dyDescent="0.25">
      <c r="D425" s="33"/>
      <c r="E425" s="33">
        <v>395</v>
      </c>
      <c r="F425" s="37"/>
      <c r="G425" s="37"/>
      <c r="H425" s="37">
        <f t="shared" si="249"/>
        <v>868800</v>
      </c>
      <c r="I425" s="37">
        <f ca="1">(RANDBETWEEN($E$14,$F$14)*$I$9)+$I$10+$I$18</f>
        <v>-369472.96408399101</v>
      </c>
      <c r="J425" s="37">
        <f ca="1">(RANDBETWEEN($E$14,$F$14)*$J$9)+$J$10+$J$18</f>
        <v>-9238.8910066427197</v>
      </c>
      <c r="K425" s="37">
        <f ca="1">(RANDBETWEEN($E$14,$F$14)*$K$9)+$K$10+$K$18</f>
        <v>24363.532183028292</v>
      </c>
      <c r="L425" s="37">
        <f ca="1">(RANDBETWEEN($E$14,$F$14)*$L$9)+$L$10+$L$18</f>
        <v>999716.39339203853</v>
      </c>
      <c r="M425" s="37">
        <f ca="1">(RANDBETWEEN($E$14,$F$14)*$M$9)+$M$10+$M$18</f>
        <v>1424944.0925515993</v>
      </c>
      <c r="N425" s="37">
        <f t="shared" ref="N425" ca="1" si="389">NPV($E$23+$F$23,H425:M425)+$H$4</f>
        <v>1291369.9127910445</v>
      </c>
    </row>
    <row r="426" spans="4:17" x14ac:dyDescent="0.25">
      <c r="D426" s="33"/>
      <c r="E426" s="33">
        <v>396</v>
      </c>
      <c r="F426" s="37"/>
      <c r="G426" s="37"/>
      <c r="H426" s="37">
        <f t="shared" si="249"/>
        <v>868800</v>
      </c>
      <c r="I426" s="37">
        <f ca="1">(RANDBETWEEN($E$14,$F$14)*$I$9)+$I$10+$I$18</f>
        <v>-189819.59895313275</v>
      </c>
      <c r="J426" s="37">
        <f ca="1">(RANDBETWEEN($E$14,$F$14)*$J$9)+$J$10+$J$18</f>
        <v>-9238.8910066427197</v>
      </c>
      <c r="K426" s="37">
        <f ca="1">(RANDBETWEEN($E$14,$F$14)*$K$9)+$K$10+$K$18</f>
        <v>24363.532183028292</v>
      </c>
      <c r="L426" s="37">
        <f ca="1">(RANDBETWEEN($E$14,$F$14)*$L$9)+$L$10+$L$18</f>
        <v>999716.39339203853</v>
      </c>
      <c r="M426" s="37">
        <f ca="1">(RANDBETWEEN($E$14,$F$14)*$M$9)+$M$10+$M$18</f>
        <v>1424944.0925515993</v>
      </c>
      <c r="N426" s="37">
        <f t="shared" ref="N426" ca="1" si="390">NPV($E$23+$F$23,H426:M426)+$H$4</f>
        <v>1454320.8108689203</v>
      </c>
    </row>
    <row r="427" spans="4:17" x14ac:dyDescent="0.25">
      <c r="D427" s="33"/>
      <c r="E427" s="33">
        <v>397</v>
      </c>
      <c r="F427" s="37"/>
      <c r="G427" s="37"/>
      <c r="H427" s="37">
        <f t="shared" si="249"/>
        <v>868800</v>
      </c>
      <c r="I427" s="37">
        <f ca="1">(RANDBETWEEN($E$14,$F$14)*$I$9)+$I$10+$I$18</f>
        <v>-369472.96408399101</v>
      </c>
      <c r="J427" s="37">
        <f ca="1">(RANDBETWEEN($E$14,$F$14)*$J$9)+$J$10+$J$18</f>
        <v>221933.48456383706</v>
      </c>
      <c r="K427" s="37">
        <f ca="1">(RANDBETWEEN($E$14,$F$14)*$K$9)+$K$10+$K$18</f>
        <v>24363.532183028292</v>
      </c>
      <c r="L427" s="37">
        <f ca="1">(RANDBETWEEN($E$14,$F$14)*$L$9)+$L$10+$L$18</f>
        <v>999716.39339203853</v>
      </c>
      <c r="M427" s="37">
        <f ca="1">(RANDBETWEEN($E$14,$F$14)*$M$9)+$M$10+$M$18</f>
        <v>1043245.7659826493</v>
      </c>
      <c r="N427" s="37">
        <f t="shared" ref="N427" ca="1" si="391">NPV($E$23+$F$23,H427:M427)+$H$4</f>
        <v>1206236.1343944785</v>
      </c>
      <c r="Q427" s="37"/>
    </row>
    <row r="428" spans="4:17" x14ac:dyDescent="0.25">
      <c r="D428" s="33"/>
      <c r="E428" s="33">
        <v>398</v>
      </c>
      <c r="F428" s="37"/>
      <c r="G428" s="37"/>
      <c r="H428" s="37">
        <f t="shared" si="249"/>
        <v>868800</v>
      </c>
      <c r="I428" s="37">
        <f ca="1">(RANDBETWEEN($E$14,$F$14)*$I$9)+$I$10+$I$18</f>
        <v>-189819.59895313275</v>
      </c>
      <c r="J428" s="37">
        <f ca="1">(RANDBETWEEN($E$14,$F$14)*$J$9)+$J$10+$J$18</f>
        <v>221933.48456383706</v>
      </c>
      <c r="K428" s="37">
        <f ca="1">(RANDBETWEEN($E$14,$F$14)*$K$9)+$K$10+$K$18</f>
        <v>260393.25392346107</v>
      </c>
      <c r="L428" s="37">
        <f ca="1">(RANDBETWEEN($E$14,$F$14)*$L$9)+$L$10+$L$18</f>
        <v>671221.40421803342</v>
      </c>
      <c r="M428" s="37">
        <f ca="1">(RANDBETWEEN($E$14,$F$14)*$M$9)+$M$10+$M$18</f>
        <v>1424944.0925515993</v>
      </c>
      <c r="N428" s="37">
        <f t="shared" ref="N428" ca="1" si="392">NPV($E$23+$F$23,H428:M428)+$H$4</f>
        <v>1590814.0172572271</v>
      </c>
    </row>
    <row r="429" spans="4:17" x14ac:dyDescent="0.25">
      <c r="D429" s="33"/>
      <c r="E429" s="33">
        <v>399</v>
      </c>
      <c r="F429" s="37"/>
      <c r="G429" s="37"/>
      <c r="H429" s="37">
        <f t="shared" si="249"/>
        <v>868800</v>
      </c>
      <c r="I429" s="37">
        <f ca="1">(RANDBETWEEN($E$14,$F$14)*$I$9)+$I$10+$I$18</f>
        <v>-189819.59895313275</v>
      </c>
      <c r="J429" s="37">
        <f ca="1">(RANDBETWEEN($E$14,$F$14)*$J$9)+$J$10+$J$18</f>
        <v>221933.48456383706</v>
      </c>
      <c r="K429" s="37">
        <f ca="1">(RANDBETWEEN($E$14,$F$14)*$K$9)+$K$10+$K$18</f>
        <v>24363.532183028292</v>
      </c>
      <c r="L429" s="37">
        <f ca="1">(RANDBETWEEN($E$14,$F$14)*$L$9)+$L$10+$L$18</f>
        <v>671221.40421803342</v>
      </c>
      <c r="M429" s="37">
        <f ca="1">(RANDBETWEEN($E$14,$F$14)*$M$9)+$M$10+$M$18</f>
        <v>1043245.7659826493</v>
      </c>
      <c r="N429" s="37">
        <f t="shared" ref="N429" ca="1" si="393">NPV($E$23+$F$23,H429:M429)+$H$4</f>
        <v>1111802.6129007479</v>
      </c>
    </row>
    <row r="430" spans="4:17" x14ac:dyDescent="0.25">
      <c r="D430" s="33"/>
      <c r="E430" s="33">
        <v>400</v>
      </c>
      <c r="F430" s="37"/>
      <c r="G430" s="37"/>
      <c r="H430" s="37">
        <f t="shared" si="249"/>
        <v>868800</v>
      </c>
      <c r="I430" s="37">
        <f ca="1">(RANDBETWEEN($E$14,$F$14)*$I$9)+$I$10+$I$18</f>
        <v>-189819.59895313275</v>
      </c>
      <c r="J430" s="37">
        <f ca="1">(RANDBETWEEN($E$14,$F$14)*$J$9)+$J$10+$J$18</f>
        <v>-9238.8910066427197</v>
      </c>
      <c r="K430" s="37">
        <f ca="1">(RANDBETWEEN($E$14,$F$14)*$K$9)+$K$10+$K$18</f>
        <v>24363.532183028292</v>
      </c>
      <c r="L430" s="37">
        <f ca="1">(RANDBETWEEN($E$14,$F$14)*$L$9)+$L$10+$L$18</f>
        <v>671221.40421803342</v>
      </c>
      <c r="M430" s="37">
        <f ca="1">(RANDBETWEEN($E$14,$F$14)*$M$9)+$M$10+$M$18</f>
        <v>1424944.0925515993</v>
      </c>
      <c r="N430" s="37">
        <f t="shared" ref="N430" ca="1" si="394">NPV($E$23+$F$23,H430:M430)+$H$4</f>
        <v>1196936.3912973143</v>
      </c>
    </row>
    <row r="431" spans="4:17" x14ac:dyDescent="0.25">
      <c r="D431" s="33"/>
      <c r="E431" s="33">
        <v>401</v>
      </c>
      <c r="F431" s="37"/>
      <c r="G431" s="37"/>
      <c r="H431" s="37">
        <f t="shared" si="249"/>
        <v>868800</v>
      </c>
      <c r="I431" s="37">
        <f ca="1">(RANDBETWEEN($E$14,$F$14)*$I$9)+$I$10+$I$18</f>
        <v>-369472.96408399101</v>
      </c>
      <c r="J431" s="37">
        <f ca="1">(RANDBETWEEN($E$14,$F$14)*$J$9)+$J$10+$J$18</f>
        <v>221933.48456383706</v>
      </c>
      <c r="K431" s="37">
        <f ca="1">(RANDBETWEEN($E$14,$F$14)*$K$9)+$K$10+$K$18</f>
        <v>24363.532183028292</v>
      </c>
      <c r="L431" s="37">
        <f ca="1">(RANDBETWEEN($E$14,$F$14)*$L$9)+$L$10+$L$18</f>
        <v>671221.40421803342</v>
      </c>
      <c r="M431" s="37">
        <f ca="1">(RANDBETWEEN($E$14,$F$14)*$M$9)+$M$10+$M$18</f>
        <v>1424944.0925515993</v>
      </c>
      <c r="N431" s="37">
        <f t="shared" ref="N431" ca="1" si="395">NPV($E$23+$F$23,H431:M431)+$H$4</f>
        <v>1233680.8829790577</v>
      </c>
    </row>
    <row r="432" spans="4:17" x14ac:dyDescent="0.25">
      <c r="D432" s="33"/>
      <c r="E432" s="33">
        <v>402</v>
      </c>
      <c r="F432" s="37"/>
      <c r="G432" s="37"/>
      <c r="H432" s="37">
        <f t="shared" si="249"/>
        <v>868800</v>
      </c>
      <c r="I432" s="37">
        <f ca="1">(RANDBETWEEN($E$14,$F$14)*$I$9)+$I$10+$I$18</f>
        <v>-189819.59895313275</v>
      </c>
      <c r="J432" s="37">
        <f ca="1">(RANDBETWEEN($E$14,$F$14)*$J$9)+$J$10+$J$18</f>
        <v>221933.48456383706</v>
      </c>
      <c r="K432" s="37">
        <f ca="1">(RANDBETWEEN($E$14,$F$14)*$K$9)+$K$10+$K$18</f>
        <v>260393.25392346107</v>
      </c>
      <c r="L432" s="37">
        <f ca="1">(RANDBETWEEN($E$14,$F$14)*$L$9)+$L$10+$L$18</f>
        <v>671221.40421803342</v>
      </c>
      <c r="M432" s="37">
        <f ca="1">(RANDBETWEEN($E$14,$F$14)*$M$9)+$M$10+$M$18</f>
        <v>1043245.7659826493</v>
      </c>
      <c r="N432" s="37">
        <f t="shared" ref="N432" ca="1" si="396">NPV($E$23+$F$23,H432:M432)+$H$4</f>
        <v>1305984.8491010414</v>
      </c>
    </row>
    <row r="433" spans="4:17" x14ac:dyDescent="0.25">
      <c r="D433" s="33"/>
      <c r="E433" s="33">
        <v>403</v>
      </c>
      <c r="F433" s="37"/>
      <c r="G433" s="37"/>
      <c r="H433" s="37">
        <f t="shared" si="249"/>
        <v>868800</v>
      </c>
      <c r="I433" s="37">
        <f ca="1">(RANDBETWEEN($E$14,$F$14)*$I$9)+$I$10+$I$18</f>
        <v>-189819.59895313275</v>
      </c>
      <c r="J433" s="37">
        <f ca="1">(RANDBETWEEN($E$14,$F$14)*$J$9)+$J$10+$J$18</f>
        <v>-9238.8910066427197</v>
      </c>
      <c r="K433" s="37">
        <f ca="1">(RANDBETWEEN($E$14,$F$14)*$K$9)+$K$10+$K$18</f>
        <v>260393.25392346107</v>
      </c>
      <c r="L433" s="37">
        <f ca="1">(RANDBETWEEN($E$14,$F$14)*$L$9)+$L$10+$L$18</f>
        <v>999716.39339203853</v>
      </c>
      <c r="M433" s="37">
        <f ca="1">(RANDBETWEEN($E$14,$F$14)*$M$9)+$M$10+$M$18</f>
        <v>1043245.7659826493</v>
      </c>
      <c r="N433" s="37">
        <f t="shared" ref="N433" ca="1" si="397">NPV($E$23+$F$23,H433:M433)+$H$4</f>
        <v>1363673.8789130282</v>
      </c>
    </row>
    <row r="434" spans="4:17" x14ac:dyDescent="0.25">
      <c r="D434" s="33"/>
      <c r="E434" s="33">
        <v>404</v>
      </c>
      <c r="F434" s="37"/>
      <c r="G434" s="37"/>
      <c r="H434" s="37">
        <f t="shared" si="249"/>
        <v>868800</v>
      </c>
      <c r="I434" s="37">
        <f ca="1">(RANDBETWEEN($E$14,$F$14)*$I$9)+$I$10+$I$18</f>
        <v>-369472.96408399101</v>
      </c>
      <c r="J434" s="37">
        <f ca="1">(RANDBETWEEN($E$14,$F$14)*$J$9)+$J$10+$J$18</f>
        <v>221933.48456383706</v>
      </c>
      <c r="K434" s="37">
        <f ca="1">(RANDBETWEEN($E$14,$F$14)*$K$9)+$K$10+$K$18</f>
        <v>260393.25392346107</v>
      </c>
      <c r="L434" s="37">
        <f ca="1">(RANDBETWEEN($E$14,$F$14)*$L$9)+$L$10+$L$18</f>
        <v>671221.40421803342</v>
      </c>
      <c r="M434" s="37">
        <f ca="1">(RANDBETWEEN($E$14,$F$14)*$M$9)+$M$10+$M$18</f>
        <v>1043245.7659826493</v>
      </c>
      <c r="N434" s="37">
        <f t="shared" ref="N434" ca="1" si="398">NPV($E$23+$F$23,H434:M434)+$H$4</f>
        <v>1143033.9510231656</v>
      </c>
      <c r="Q434" s="37"/>
    </row>
    <row r="435" spans="4:17" x14ac:dyDescent="0.25">
      <c r="D435" s="33"/>
      <c r="E435" s="33">
        <v>405</v>
      </c>
      <c r="F435" s="37"/>
      <c r="G435" s="37"/>
      <c r="H435" s="37">
        <f t="shared" si="249"/>
        <v>868800</v>
      </c>
      <c r="I435" s="37">
        <f ca="1">(RANDBETWEEN($E$14,$F$14)*$I$9)+$I$10+$I$18</f>
        <v>-369472.96408399101</v>
      </c>
      <c r="J435" s="37">
        <f ca="1">(RANDBETWEEN($E$14,$F$14)*$J$9)+$J$10+$J$18</f>
        <v>221933.48456383706</v>
      </c>
      <c r="K435" s="37">
        <f ca="1">(RANDBETWEEN($E$14,$F$14)*$K$9)+$K$10+$K$18</f>
        <v>24363.532183028292</v>
      </c>
      <c r="L435" s="37">
        <f ca="1">(RANDBETWEEN($E$14,$F$14)*$L$9)+$L$10+$L$18</f>
        <v>999716.39339203853</v>
      </c>
      <c r="M435" s="37">
        <f ca="1">(RANDBETWEEN($E$14,$F$14)*$M$9)+$M$10+$M$18</f>
        <v>1424944.0925515993</v>
      </c>
      <c r="N435" s="37">
        <f t="shared" ref="N435" ca="1" si="399">NPV($E$23+$F$23,H435:M435)+$H$4</f>
        <v>1491065.3025506642</v>
      </c>
    </row>
    <row r="436" spans="4:17" x14ac:dyDescent="0.25">
      <c r="D436" s="33"/>
      <c r="E436" s="33">
        <v>406</v>
      </c>
      <c r="F436" s="37"/>
      <c r="G436" s="37"/>
      <c r="H436" s="37">
        <f t="shared" si="249"/>
        <v>868800</v>
      </c>
      <c r="I436" s="37">
        <f ca="1">(RANDBETWEEN($E$14,$F$14)*$I$9)+$I$10+$I$18</f>
        <v>-189819.59895313275</v>
      </c>
      <c r="J436" s="37">
        <f ca="1">(RANDBETWEEN($E$14,$F$14)*$J$9)+$J$10+$J$18</f>
        <v>221933.48456383706</v>
      </c>
      <c r="K436" s="37">
        <f ca="1">(RANDBETWEEN($E$14,$F$14)*$K$9)+$K$10+$K$18</f>
        <v>260393.25392346107</v>
      </c>
      <c r="L436" s="37">
        <f ca="1">(RANDBETWEEN($E$14,$F$14)*$L$9)+$L$10+$L$18</f>
        <v>999716.39339203853</v>
      </c>
      <c r="M436" s="37">
        <f ca="1">(RANDBETWEEN($E$14,$F$14)*$M$9)+$M$10+$M$18</f>
        <v>1424944.0925515993</v>
      </c>
      <c r="N436" s="37">
        <f t="shared" ref="N436" ca="1" si="400">NPV($E$23+$F$23,H436:M436)+$H$4</f>
        <v>1848198.4368288331</v>
      </c>
      <c r="Q436" s="37"/>
    </row>
    <row r="437" spans="4:17" x14ac:dyDescent="0.25">
      <c r="D437" s="33"/>
      <c r="E437" s="33">
        <v>407</v>
      </c>
      <c r="F437" s="37"/>
      <c r="G437" s="37"/>
      <c r="H437" s="37">
        <f t="shared" si="249"/>
        <v>868800</v>
      </c>
      <c r="I437" s="37">
        <f ca="1">(RANDBETWEEN($E$14,$F$14)*$I$9)+$I$10+$I$18</f>
        <v>-369472.96408399101</v>
      </c>
      <c r="J437" s="37">
        <f ca="1">(RANDBETWEEN($E$14,$F$14)*$J$9)+$J$10+$J$18</f>
        <v>221933.48456383706</v>
      </c>
      <c r="K437" s="37">
        <f ca="1">(RANDBETWEEN($E$14,$F$14)*$K$9)+$K$10+$K$18</f>
        <v>260393.25392346107</v>
      </c>
      <c r="L437" s="37">
        <f ca="1">(RANDBETWEEN($E$14,$F$14)*$L$9)+$L$10+$L$18</f>
        <v>999716.39339203853</v>
      </c>
      <c r="M437" s="37">
        <f ca="1">(RANDBETWEEN($E$14,$F$14)*$M$9)+$M$10+$M$18</f>
        <v>1043245.7659826493</v>
      </c>
      <c r="N437" s="37">
        <f t="shared" ref="N437" ca="1" si="401">NPV($E$23+$F$23,H437:M437)+$H$4</f>
        <v>1400418.3705947716</v>
      </c>
    </row>
    <row r="438" spans="4:17" x14ac:dyDescent="0.25">
      <c r="D438" s="33"/>
      <c r="E438" s="33">
        <v>408</v>
      </c>
      <c r="F438" s="37"/>
      <c r="G438" s="37"/>
      <c r="H438" s="37">
        <f t="shared" si="249"/>
        <v>868800</v>
      </c>
      <c r="I438" s="37">
        <f ca="1">(RANDBETWEEN($E$14,$F$14)*$I$9)+$I$10+$I$18</f>
        <v>-369472.96408399101</v>
      </c>
      <c r="J438" s="37">
        <f ca="1">(RANDBETWEEN($E$14,$F$14)*$J$9)+$J$10+$J$18</f>
        <v>-9238.8910066427197</v>
      </c>
      <c r="K438" s="37">
        <f ca="1">(RANDBETWEEN($E$14,$F$14)*$K$9)+$K$10+$K$18</f>
        <v>24363.532183028292</v>
      </c>
      <c r="L438" s="37">
        <f ca="1">(RANDBETWEEN($E$14,$F$14)*$L$9)+$L$10+$L$18</f>
        <v>671221.40421803342</v>
      </c>
      <c r="M438" s="37">
        <f ca="1">(RANDBETWEEN($E$14,$F$14)*$M$9)+$M$10+$M$18</f>
        <v>1043245.7659826493</v>
      </c>
      <c r="N438" s="37">
        <f t="shared" ref="N438" ca="1" si="402">NPV($E$23+$F$23,H438:M438)+$H$4</f>
        <v>749156.32506325236</v>
      </c>
    </row>
    <row r="439" spans="4:17" x14ac:dyDescent="0.25">
      <c r="D439" s="33"/>
      <c r="E439" s="33">
        <v>409</v>
      </c>
      <c r="F439" s="37"/>
      <c r="G439" s="37"/>
      <c r="H439" s="37">
        <f t="shared" si="249"/>
        <v>868800</v>
      </c>
      <c r="I439" s="37">
        <f ca="1">(RANDBETWEEN($E$14,$F$14)*$I$9)+$I$10+$I$18</f>
        <v>-369472.96408399101</v>
      </c>
      <c r="J439" s="37">
        <f ca="1">(RANDBETWEEN($E$14,$F$14)*$J$9)+$J$10+$J$18</f>
        <v>-9238.8910066427197</v>
      </c>
      <c r="K439" s="37">
        <f ca="1">(RANDBETWEEN($E$14,$F$14)*$K$9)+$K$10+$K$18</f>
        <v>24363.532183028292</v>
      </c>
      <c r="L439" s="37">
        <f ca="1">(RANDBETWEEN($E$14,$F$14)*$L$9)+$L$10+$L$18</f>
        <v>671221.40421803342</v>
      </c>
      <c r="M439" s="37">
        <f ca="1">(RANDBETWEEN($E$14,$F$14)*$M$9)+$M$10+$M$18</f>
        <v>1043245.7659826493</v>
      </c>
      <c r="N439" s="37">
        <f t="shared" ref="N439" ca="1" si="403">NPV($E$23+$F$23,H439:M439)+$H$4</f>
        <v>749156.32506325236</v>
      </c>
    </row>
    <row r="440" spans="4:17" x14ac:dyDescent="0.25">
      <c r="D440" s="33"/>
      <c r="E440" s="33">
        <v>410</v>
      </c>
      <c r="F440" s="37"/>
      <c r="G440" s="37"/>
      <c r="H440" s="37">
        <f t="shared" si="249"/>
        <v>868800</v>
      </c>
      <c r="I440" s="37">
        <f ca="1">(RANDBETWEEN($E$14,$F$14)*$I$9)+$I$10+$I$18</f>
        <v>-369472.96408399101</v>
      </c>
      <c r="J440" s="37">
        <f ca="1">(RANDBETWEEN($E$14,$F$14)*$J$9)+$J$10+$J$18</f>
        <v>221933.48456383706</v>
      </c>
      <c r="K440" s="37">
        <f ca="1">(RANDBETWEEN($E$14,$F$14)*$K$9)+$K$10+$K$18</f>
        <v>260393.25392346107</v>
      </c>
      <c r="L440" s="37">
        <f ca="1">(RANDBETWEEN($E$14,$F$14)*$L$9)+$L$10+$L$18</f>
        <v>999716.39339203853</v>
      </c>
      <c r="M440" s="37">
        <f ca="1">(RANDBETWEEN($E$14,$F$14)*$M$9)+$M$10+$M$18</f>
        <v>1424944.0925515993</v>
      </c>
      <c r="N440" s="37">
        <f t="shared" ref="N440" ca="1" si="404">NPV($E$23+$F$23,H440:M440)+$H$4</f>
        <v>1685247.5387509572</v>
      </c>
    </row>
    <row r="441" spans="4:17" x14ac:dyDescent="0.25">
      <c r="D441" s="33"/>
      <c r="E441" s="33">
        <v>411</v>
      </c>
      <c r="F441" s="37"/>
      <c r="G441" s="37"/>
      <c r="H441" s="37">
        <f t="shared" si="249"/>
        <v>868800</v>
      </c>
      <c r="I441" s="37">
        <f ca="1">(RANDBETWEEN($E$14,$F$14)*$I$9)+$I$10+$I$18</f>
        <v>-369472.96408399101</v>
      </c>
      <c r="J441" s="37">
        <f ca="1">(RANDBETWEEN($E$14,$F$14)*$J$9)+$J$10+$J$18</f>
        <v>-9238.8910066427197</v>
      </c>
      <c r="K441" s="37">
        <f ca="1">(RANDBETWEEN($E$14,$F$14)*$K$9)+$K$10+$K$18</f>
        <v>260393.25392346107</v>
      </c>
      <c r="L441" s="37">
        <f ca="1">(RANDBETWEEN($E$14,$F$14)*$L$9)+$L$10+$L$18</f>
        <v>999716.39339203853</v>
      </c>
      <c r="M441" s="37">
        <f ca="1">(RANDBETWEEN($E$14,$F$14)*$M$9)+$M$10+$M$18</f>
        <v>1424944.0925515993</v>
      </c>
      <c r="N441" s="37">
        <f t="shared" ref="N441" ca="1" si="405">NPV($E$23+$F$23,H441:M441)+$H$4</f>
        <v>1485552.1489913375</v>
      </c>
    </row>
    <row r="442" spans="4:17" x14ac:dyDescent="0.25">
      <c r="D442" s="33"/>
      <c r="E442" s="33">
        <v>412</v>
      </c>
      <c r="F442" s="37"/>
      <c r="G442" s="37"/>
      <c r="H442" s="37">
        <f t="shared" si="249"/>
        <v>868800</v>
      </c>
      <c r="I442" s="37">
        <f ca="1">(RANDBETWEEN($E$14,$F$14)*$I$9)+$I$10+$I$18</f>
        <v>-369472.96408399101</v>
      </c>
      <c r="J442" s="37">
        <f ca="1">(RANDBETWEEN($E$14,$F$14)*$J$9)+$J$10+$J$18</f>
        <v>-9238.8910066427197</v>
      </c>
      <c r="K442" s="37">
        <f ca="1">(RANDBETWEEN($E$14,$F$14)*$K$9)+$K$10+$K$18</f>
        <v>260393.25392346107</v>
      </c>
      <c r="L442" s="37">
        <f ca="1">(RANDBETWEEN($E$14,$F$14)*$L$9)+$L$10+$L$18</f>
        <v>999716.39339203853</v>
      </c>
      <c r="M442" s="37">
        <f ca="1">(RANDBETWEEN($E$14,$F$14)*$M$9)+$M$10+$M$18</f>
        <v>1043245.7659826493</v>
      </c>
      <c r="N442" s="37">
        <f t="shared" ref="N442" ca="1" si="406">NPV($E$23+$F$23,H442:M442)+$H$4</f>
        <v>1200722.9808351514</v>
      </c>
    </row>
    <row r="443" spans="4:17" x14ac:dyDescent="0.25">
      <c r="D443" s="33"/>
      <c r="E443" s="33">
        <v>413</v>
      </c>
      <c r="F443" s="37"/>
      <c r="G443" s="37"/>
      <c r="H443" s="37">
        <f t="shared" si="249"/>
        <v>868800</v>
      </c>
      <c r="I443" s="37">
        <f ca="1">(RANDBETWEEN($E$14,$F$14)*$I$9)+$I$10+$I$18</f>
        <v>-189819.59895313275</v>
      </c>
      <c r="J443" s="37">
        <f ca="1">(RANDBETWEEN($E$14,$F$14)*$J$9)+$J$10+$J$18</f>
        <v>221933.48456383706</v>
      </c>
      <c r="K443" s="37">
        <f ca="1">(RANDBETWEEN($E$14,$F$14)*$K$9)+$K$10+$K$18</f>
        <v>24363.532183028292</v>
      </c>
      <c r="L443" s="37">
        <f ca="1">(RANDBETWEEN($E$14,$F$14)*$L$9)+$L$10+$L$18</f>
        <v>671221.40421803342</v>
      </c>
      <c r="M443" s="37">
        <f ca="1">(RANDBETWEEN($E$14,$F$14)*$M$9)+$M$10+$M$18</f>
        <v>1043245.7659826493</v>
      </c>
      <c r="N443" s="37">
        <f t="shared" ref="N443" ca="1" si="407">NPV($E$23+$F$23,H443:M443)+$H$4</f>
        <v>1111802.6129007479</v>
      </c>
    </row>
    <row r="444" spans="4:17" x14ac:dyDescent="0.25">
      <c r="D444" s="33"/>
      <c r="E444" s="33">
        <v>414</v>
      </c>
      <c r="F444" s="37"/>
      <c r="G444" s="37"/>
      <c r="H444" s="37">
        <f t="shared" si="249"/>
        <v>868800</v>
      </c>
      <c r="I444" s="37">
        <f ca="1">(RANDBETWEEN($E$14,$F$14)*$I$9)+$I$10+$I$18</f>
        <v>-369472.96408399101</v>
      </c>
      <c r="J444" s="37">
        <f ca="1">(RANDBETWEEN($E$14,$F$14)*$J$9)+$J$10+$J$18</f>
        <v>-9238.8910066427197</v>
      </c>
      <c r="K444" s="37">
        <f ca="1">(RANDBETWEEN($E$14,$F$14)*$K$9)+$K$10+$K$18</f>
        <v>24363.532183028292</v>
      </c>
      <c r="L444" s="37">
        <f ca="1">(RANDBETWEEN($E$14,$F$14)*$L$9)+$L$10+$L$18</f>
        <v>671221.40421803342</v>
      </c>
      <c r="M444" s="37">
        <f ca="1">(RANDBETWEEN($E$14,$F$14)*$M$9)+$M$10+$M$18</f>
        <v>1043245.7659826493</v>
      </c>
      <c r="N444" s="37">
        <f t="shared" ref="N444" ca="1" si="408">NPV($E$23+$F$23,H444:M444)+$H$4</f>
        <v>749156.32506325236</v>
      </c>
    </row>
    <row r="445" spans="4:17" x14ac:dyDescent="0.25">
      <c r="D445" s="33"/>
      <c r="E445" s="33">
        <v>415</v>
      </c>
      <c r="F445" s="37"/>
      <c r="G445" s="37"/>
      <c r="H445" s="37">
        <f t="shared" si="249"/>
        <v>868800</v>
      </c>
      <c r="I445" s="37">
        <f ca="1">(RANDBETWEEN($E$14,$F$14)*$I$9)+$I$10+$I$18</f>
        <v>-189819.59895313275</v>
      </c>
      <c r="J445" s="37">
        <f ca="1">(RANDBETWEEN($E$14,$F$14)*$J$9)+$J$10+$J$18</f>
        <v>-9238.8910066427197</v>
      </c>
      <c r="K445" s="37">
        <f ca="1">(RANDBETWEEN($E$14,$F$14)*$K$9)+$K$10+$K$18</f>
        <v>24363.532183028292</v>
      </c>
      <c r="L445" s="37">
        <f ca="1">(RANDBETWEEN($E$14,$F$14)*$L$9)+$L$10+$L$18</f>
        <v>671221.40421803342</v>
      </c>
      <c r="M445" s="37">
        <f ca="1">(RANDBETWEEN($E$14,$F$14)*$M$9)+$M$10+$M$18</f>
        <v>1424944.0925515993</v>
      </c>
      <c r="N445" s="37">
        <f t="shared" ref="N445" ca="1" si="409">NPV($E$23+$F$23,H445:M445)+$H$4</f>
        <v>1196936.3912973143</v>
      </c>
    </row>
    <row r="446" spans="4:17" x14ac:dyDescent="0.25">
      <c r="D446" s="33"/>
      <c r="E446" s="33">
        <v>416</v>
      </c>
      <c r="F446" s="37"/>
      <c r="G446" s="37"/>
      <c r="H446" s="37">
        <f t="shared" si="249"/>
        <v>868800</v>
      </c>
      <c r="I446" s="37">
        <f ca="1">(RANDBETWEEN($E$14,$F$14)*$I$9)+$I$10+$I$18</f>
        <v>-369472.96408399101</v>
      </c>
      <c r="J446" s="37">
        <f ca="1">(RANDBETWEEN($E$14,$F$14)*$J$9)+$J$10+$J$18</f>
        <v>-9238.8910066427197</v>
      </c>
      <c r="K446" s="37">
        <f ca="1">(RANDBETWEEN($E$14,$F$14)*$K$9)+$K$10+$K$18</f>
        <v>260393.25392346107</v>
      </c>
      <c r="L446" s="37">
        <f ca="1">(RANDBETWEEN($E$14,$F$14)*$L$9)+$L$10+$L$18</f>
        <v>999716.39339203853</v>
      </c>
      <c r="M446" s="37">
        <f ca="1">(RANDBETWEEN($E$14,$F$14)*$M$9)+$M$10+$M$18</f>
        <v>1043245.7659826493</v>
      </c>
      <c r="N446" s="37">
        <f t="shared" ref="N446" ca="1" si="410">NPV($E$23+$F$23,H446:M446)+$H$4</f>
        <v>1200722.9808351514</v>
      </c>
    </row>
    <row r="447" spans="4:17" x14ac:dyDescent="0.25">
      <c r="D447" s="33"/>
      <c r="E447" s="33">
        <v>417</v>
      </c>
      <c r="F447" s="37"/>
      <c r="G447" s="37"/>
      <c r="H447" s="37">
        <f t="shared" si="249"/>
        <v>868800</v>
      </c>
      <c r="I447" s="37">
        <f ca="1">(RANDBETWEEN($E$14,$F$14)*$I$9)+$I$10+$I$18</f>
        <v>-369472.96408399101</v>
      </c>
      <c r="J447" s="37">
        <f ca="1">(RANDBETWEEN($E$14,$F$14)*$J$9)+$J$10+$J$18</f>
        <v>-9238.8910066427197</v>
      </c>
      <c r="K447" s="37">
        <f ca="1">(RANDBETWEEN($E$14,$F$14)*$K$9)+$K$10+$K$18</f>
        <v>260393.25392346107</v>
      </c>
      <c r="L447" s="37">
        <f ca="1">(RANDBETWEEN($E$14,$F$14)*$L$9)+$L$10+$L$18</f>
        <v>999716.39339203853</v>
      </c>
      <c r="M447" s="37">
        <f ca="1">(RANDBETWEEN($E$14,$F$14)*$M$9)+$M$10+$M$18</f>
        <v>1424944.0925515993</v>
      </c>
      <c r="N447" s="37">
        <f t="shared" ref="N447" ca="1" si="411">NPV($E$23+$F$23,H447:M447)+$H$4</f>
        <v>1485552.1489913375</v>
      </c>
    </row>
    <row r="448" spans="4:17" x14ac:dyDescent="0.25">
      <c r="D448" s="33"/>
      <c r="E448" s="33">
        <v>418</v>
      </c>
      <c r="F448" s="37"/>
      <c r="G448" s="37"/>
      <c r="H448" s="37">
        <f t="shared" si="249"/>
        <v>868800</v>
      </c>
      <c r="I448" s="37">
        <f ca="1">(RANDBETWEEN($E$14,$F$14)*$I$9)+$I$10+$I$18</f>
        <v>-189819.59895313275</v>
      </c>
      <c r="J448" s="37">
        <f ca="1">(RANDBETWEEN($E$14,$F$14)*$J$9)+$J$10+$J$18</f>
        <v>-9238.8910066427197</v>
      </c>
      <c r="K448" s="37">
        <f ca="1">(RANDBETWEEN($E$14,$F$14)*$K$9)+$K$10+$K$18</f>
        <v>24363.532183028292</v>
      </c>
      <c r="L448" s="37">
        <f ca="1">(RANDBETWEEN($E$14,$F$14)*$L$9)+$L$10+$L$18</f>
        <v>999716.39339203853</v>
      </c>
      <c r="M448" s="37">
        <f ca="1">(RANDBETWEEN($E$14,$F$14)*$M$9)+$M$10+$M$18</f>
        <v>1043245.7659826493</v>
      </c>
      <c r="N448" s="37">
        <f t="shared" ref="N448" ca="1" si="412">NPV($E$23+$F$23,H448:M448)+$H$4</f>
        <v>1169491.6427127346</v>
      </c>
    </row>
    <row r="449" spans="4:17" x14ac:dyDescent="0.25">
      <c r="D449" s="33"/>
      <c r="E449" s="33">
        <v>419</v>
      </c>
      <c r="F449" s="37"/>
      <c r="G449" s="37"/>
      <c r="H449" s="37">
        <f t="shared" si="249"/>
        <v>868800</v>
      </c>
      <c r="I449" s="37">
        <f ca="1">(RANDBETWEEN($E$14,$F$14)*$I$9)+$I$10+$I$18</f>
        <v>-369472.96408399101</v>
      </c>
      <c r="J449" s="37">
        <f ca="1">(RANDBETWEEN($E$14,$F$14)*$J$9)+$J$10+$J$18</f>
        <v>221933.48456383706</v>
      </c>
      <c r="K449" s="37">
        <f ca="1">(RANDBETWEEN($E$14,$F$14)*$K$9)+$K$10+$K$18</f>
        <v>260393.25392346107</v>
      </c>
      <c r="L449" s="37">
        <f ca="1">(RANDBETWEEN($E$14,$F$14)*$L$9)+$L$10+$L$18</f>
        <v>999716.39339203853</v>
      </c>
      <c r="M449" s="37">
        <f ca="1">(RANDBETWEEN($E$14,$F$14)*$M$9)+$M$10+$M$18</f>
        <v>1043245.7659826493</v>
      </c>
      <c r="N449" s="37">
        <f t="shared" ref="N449" ca="1" si="413">NPV($E$23+$F$23,H449:M449)+$H$4</f>
        <v>1400418.3705947716</v>
      </c>
    </row>
    <row r="450" spans="4:17" x14ac:dyDescent="0.25">
      <c r="D450" s="33"/>
      <c r="E450" s="33">
        <v>420</v>
      </c>
      <c r="F450" s="37"/>
      <c r="G450" s="37"/>
      <c r="H450" s="37">
        <f t="shared" si="249"/>
        <v>868800</v>
      </c>
      <c r="I450" s="37">
        <f ca="1">(RANDBETWEEN($E$14,$F$14)*$I$9)+$I$10+$I$18</f>
        <v>-369472.96408399101</v>
      </c>
      <c r="J450" s="37">
        <f ca="1">(RANDBETWEEN($E$14,$F$14)*$J$9)+$J$10+$J$18</f>
        <v>-9238.8910066427197</v>
      </c>
      <c r="K450" s="37">
        <f ca="1">(RANDBETWEEN($E$14,$F$14)*$K$9)+$K$10+$K$18</f>
        <v>260393.25392346107</v>
      </c>
      <c r="L450" s="37">
        <f ca="1">(RANDBETWEEN($E$14,$F$14)*$L$9)+$L$10+$L$18</f>
        <v>999716.39339203853</v>
      </c>
      <c r="M450" s="37">
        <f ca="1">(RANDBETWEEN($E$14,$F$14)*$M$9)+$M$10+$M$18</f>
        <v>1424944.0925515993</v>
      </c>
      <c r="N450" s="37">
        <f t="shared" ref="N450" ca="1" si="414">NPV($E$23+$F$23,H450:M450)+$H$4</f>
        <v>1485552.1489913375</v>
      </c>
    </row>
    <row r="451" spans="4:17" x14ac:dyDescent="0.25">
      <c r="D451" s="33"/>
      <c r="E451" s="33">
        <v>421</v>
      </c>
      <c r="F451" s="37"/>
      <c r="G451" s="37"/>
      <c r="H451" s="37">
        <f t="shared" si="249"/>
        <v>868800</v>
      </c>
      <c r="I451" s="37">
        <f ca="1">(RANDBETWEEN($E$14,$F$14)*$I$9)+$I$10+$I$18</f>
        <v>-369472.96408399101</v>
      </c>
      <c r="J451" s="37">
        <f ca="1">(RANDBETWEEN($E$14,$F$14)*$J$9)+$J$10+$J$18</f>
        <v>221933.48456383706</v>
      </c>
      <c r="K451" s="37">
        <f ca="1">(RANDBETWEEN($E$14,$F$14)*$K$9)+$K$10+$K$18</f>
        <v>24363.532183028292</v>
      </c>
      <c r="L451" s="37">
        <f ca="1">(RANDBETWEEN($E$14,$F$14)*$L$9)+$L$10+$L$18</f>
        <v>999716.39339203853</v>
      </c>
      <c r="M451" s="37">
        <f ca="1">(RANDBETWEEN($E$14,$F$14)*$M$9)+$M$10+$M$18</f>
        <v>1043245.7659826493</v>
      </c>
      <c r="N451" s="37">
        <f t="shared" ref="N451" ca="1" si="415">NPV($E$23+$F$23,H451:M451)+$H$4</f>
        <v>1206236.1343944785</v>
      </c>
    </row>
    <row r="452" spans="4:17" x14ac:dyDescent="0.25">
      <c r="D452" s="33"/>
      <c r="E452" s="33">
        <v>422</v>
      </c>
      <c r="F452" s="37"/>
      <c r="G452" s="37"/>
      <c r="H452" s="37">
        <f t="shared" si="249"/>
        <v>868800</v>
      </c>
      <c r="I452" s="37">
        <f ca="1">(RANDBETWEEN($E$14,$F$14)*$I$9)+$I$10+$I$18</f>
        <v>-369472.96408399101</v>
      </c>
      <c r="J452" s="37">
        <f ca="1">(RANDBETWEEN($E$14,$F$14)*$J$9)+$J$10+$J$18</f>
        <v>-9238.8910066427197</v>
      </c>
      <c r="K452" s="37">
        <f ca="1">(RANDBETWEEN($E$14,$F$14)*$K$9)+$K$10+$K$18</f>
        <v>260393.25392346107</v>
      </c>
      <c r="L452" s="37">
        <f ca="1">(RANDBETWEEN($E$14,$F$14)*$L$9)+$L$10+$L$18</f>
        <v>999716.39339203853</v>
      </c>
      <c r="M452" s="37">
        <f ca="1">(RANDBETWEEN($E$14,$F$14)*$M$9)+$M$10+$M$18</f>
        <v>1424944.0925515993</v>
      </c>
      <c r="N452" s="37">
        <f t="shared" ref="N452" ca="1" si="416">NPV($E$23+$F$23,H452:M452)+$H$4</f>
        <v>1485552.1489913375</v>
      </c>
      <c r="Q452" s="37"/>
    </row>
    <row r="453" spans="4:17" x14ac:dyDescent="0.25">
      <c r="D453" s="33"/>
      <c r="E453" s="33">
        <v>423</v>
      </c>
      <c r="F453" s="37"/>
      <c r="G453" s="37"/>
      <c r="H453" s="37">
        <f t="shared" si="249"/>
        <v>868800</v>
      </c>
      <c r="I453" s="37">
        <f ca="1">(RANDBETWEEN($E$14,$F$14)*$I$9)+$I$10+$I$18</f>
        <v>-189819.59895313275</v>
      </c>
      <c r="J453" s="37">
        <f ca="1">(RANDBETWEEN($E$14,$F$14)*$J$9)+$J$10+$J$18</f>
        <v>-9238.8910066427197</v>
      </c>
      <c r="K453" s="37">
        <f ca="1">(RANDBETWEEN($E$14,$F$14)*$K$9)+$K$10+$K$18</f>
        <v>260393.25392346107</v>
      </c>
      <c r="L453" s="37">
        <f ca="1">(RANDBETWEEN($E$14,$F$14)*$L$9)+$L$10+$L$18</f>
        <v>999716.39339203853</v>
      </c>
      <c r="M453" s="37">
        <f ca="1">(RANDBETWEEN($E$14,$F$14)*$M$9)+$M$10+$M$18</f>
        <v>1043245.7659826493</v>
      </c>
      <c r="N453" s="37">
        <f t="shared" ref="N453" ca="1" si="417">NPV($E$23+$F$23,H453:M453)+$H$4</f>
        <v>1363673.8789130282</v>
      </c>
    </row>
    <row r="454" spans="4:17" x14ac:dyDescent="0.25">
      <c r="D454" s="33"/>
      <c r="E454" s="33">
        <v>424</v>
      </c>
      <c r="F454" s="37"/>
      <c r="G454" s="37"/>
      <c r="H454" s="37">
        <f t="shared" si="249"/>
        <v>868800</v>
      </c>
      <c r="I454" s="37">
        <f ca="1">(RANDBETWEEN($E$14,$F$14)*$I$9)+$I$10+$I$18</f>
        <v>-369472.96408399101</v>
      </c>
      <c r="J454" s="37">
        <f ca="1">(RANDBETWEEN($E$14,$F$14)*$J$9)+$J$10+$J$18</f>
        <v>-9238.8910066427197</v>
      </c>
      <c r="K454" s="37">
        <f ca="1">(RANDBETWEEN($E$14,$F$14)*$K$9)+$K$10+$K$18</f>
        <v>24363.532183028292</v>
      </c>
      <c r="L454" s="37">
        <f ca="1">(RANDBETWEEN($E$14,$F$14)*$L$9)+$L$10+$L$18</f>
        <v>671221.40421803342</v>
      </c>
      <c r="M454" s="37">
        <f ca="1">(RANDBETWEEN($E$14,$F$14)*$M$9)+$M$10+$M$18</f>
        <v>1424944.0925515993</v>
      </c>
      <c r="N454" s="37">
        <f t="shared" ref="N454" ca="1" si="418">NPV($E$23+$F$23,H454:M454)+$H$4</f>
        <v>1033985.4932194382</v>
      </c>
    </row>
    <row r="455" spans="4:17" x14ac:dyDescent="0.25">
      <c r="D455" s="33"/>
      <c r="E455" s="33">
        <v>425</v>
      </c>
      <c r="F455" s="37"/>
      <c r="G455" s="37"/>
      <c r="H455" s="37">
        <f t="shared" si="249"/>
        <v>868800</v>
      </c>
      <c r="I455" s="37">
        <f ca="1">(RANDBETWEEN($E$14,$F$14)*$I$9)+$I$10+$I$18</f>
        <v>-189819.59895313275</v>
      </c>
      <c r="J455" s="37">
        <f ca="1">(RANDBETWEEN($E$14,$F$14)*$J$9)+$J$10+$J$18</f>
        <v>-9238.8910066427197</v>
      </c>
      <c r="K455" s="37">
        <f ca="1">(RANDBETWEEN($E$14,$F$14)*$K$9)+$K$10+$K$18</f>
        <v>24363.532183028292</v>
      </c>
      <c r="L455" s="37">
        <f ca="1">(RANDBETWEEN($E$14,$F$14)*$L$9)+$L$10+$L$18</f>
        <v>999716.39339203853</v>
      </c>
      <c r="M455" s="37">
        <f ca="1">(RANDBETWEEN($E$14,$F$14)*$M$9)+$M$10+$M$18</f>
        <v>1043245.7659826493</v>
      </c>
      <c r="N455" s="37">
        <f t="shared" ref="N455" ca="1" si="419">NPV($E$23+$F$23,H455:M455)+$H$4</f>
        <v>1169491.6427127346</v>
      </c>
    </row>
    <row r="456" spans="4:17" x14ac:dyDescent="0.25">
      <c r="D456" s="33"/>
      <c r="E456" s="33">
        <v>426</v>
      </c>
      <c r="F456" s="37"/>
      <c r="G456" s="37"/>
      <c r="H456" s="37">
        <f t="shared" si="249"/>
        <v>868800</v>
      </c>
      <c r="I456" s="37">
        <f ca="1">(RANDBETWEEN($E$14,$F$14)*$I$9)+$I$10+$I$18</f>
        <v>-369472.96408399101</v>
      </c>
      <c r="J456" s="37">
        <f ca="1">(RANDBETWEEN($E$14,$F$14)*$J$9)+$J$10+$J$18</f>
        <v>-9238.8910066427197</v>
      </c>
      <c r="K456" s="37">
        <f ca="1">(RANDBETWEEN($E$14,$F$14)*$K$9)+$K$10+$K$18</f>
        <v>24363.532183028292</v>
      </c>
      <c r="L456" s="37">
        <f ca="1">(RANDBETWEEN($E$14,$F$14)*$L$9)+$L$10+$L$18</f>
        <v>999716.39339203853</v>
      </c>
      <c r="M456" s="37">
        <f ca="1">(RANDBETWEEN($E$14,$F$14)*$M$9)+$M$10+$M$18</f>
        <v>1043245.7659826493</v>
      </c>
      <c r="N456" s="37">
        <f t="shared" ref="N456" ca="1" si="420">NPV($E$23+$F$23,H456:M456)+$H$4</f>
        <v>1006540.7446348586</v>
      </c>
    </row>
    <row r="457" spans="4:17" x14ac:dyDescent="0.25">
      <c r="D457" s="33"/>
      <c r="E457" s="33">
        <v>427</v>
      </c>
      <c r="F457" s="37"/>
      <c r="G457" s="37"/>
      <c r="H457" s="37">
        <f t="shared" si="249"/>
        <v>868800</v>
      </c>
      <c r="I457" s="37">
        <f ca="1">(RANDBETWEEN($E$14,$F$14)*$I$9)+$I$10+$I$18</f>
        <v>-189819.59895313275</v>
      </c>
      <c r="J457" s="37">
        <f ca="1">(RANDBETWEEN($E$14,$F$14)*$J$9)+$J$10+$J$18</f>
        <v>221933.48456383706</v>
      </c>
      <c r="K457" s="37">
        <f ca="1">(RANDBETWEEN($E$14,$F$14)*$K$9)+$K$10+$K$18</f>
        <v>260393.25392346107</v>
      </c>
      <c r="L457" s="37">
        <f ca="1">(RANDBETWEEN($E$14,$F$14)*$L$9)+$L$10+$L$18</f>
        <v>999716.39339203853</v>
      </c>
      <c r="M457" s="37">
        <f ca="1">(RANDBETWEEN($E$14,$F$14)*$M$9)+$M$10+$M$18</f>
        <v>1424944.0925515993</v>
      </c>
      <c r="N457" s="37">
        <f t="shared" ref="N457" ca="1" si="421">NPV($E$23+$F$23,H457:M457)+$H$4</f>
        <v>1848198.4368288331</v>
      </c>
    </row>
    <row r="458" spans="4:17" x14ac:dyDescent="0.25">
      <c r="D458" s="33"/>
      <c r="E458" s="33">
        <v>428</v>
      </c>
      <c r="F458" s="37"/>
      <c r="G458" s="37"/>
      <c r="H458" s="37">
        <f t="shared" si="249"/>
        <v>868800</v>
      </c>
      <c r="I458" s="37">
        <f ca="1">(RANDBETWEEN($E$14,$F$14)*$I$9)+$I$10+$I$18</f>
        <v>-189819.59895313275</v>
      </c>
      <c r="J458" s="37">
        <f ca="1">(RANDBETWEEN($E$14,$F$14)*$J$9)+$J$10+$J$18</f>
        <v>-9238.8910066427197</v>
      </c>
      <c r="K458" s="37">
        <f ca="1">(RANDBETWEEN($E$14,$F$14)*$K$9)+$K$10+$K$18</f>
        <v>24363.532183028292</v>
      </c>
      <c r="L458" s="37">
        <f ca="1">(RANDBETWEEN($E$14,$F$14)*$L$9)+$L$10+$L$18</f>
        <v>999716.39339203853</v>
      </c>
      <c r="M458" s="37">
        <f ca="1">(RANDBETWEEN($E$14,$F$14)*$M$9)+$M$10+$M$18</f>
        <v>1424944.0925515993</v>
      </c>
      <c r="N458" s="37">
        <f t="shared" ref="N458" ca="1" si="422">NPV($E$23+$F$23,H458:M458)+$H$4</f>
        <v>1454320.8108689203</v>
      </c>
    </row>
    <row r="459" spans="4:17" x14ac:dyDescent="0.25">
      <c r="D459" s="33"/>
      <c r="E459" s="33">
        <v>429</v>
      </c>
      <c r="F459" s="37"/>
      <c r="G459" s="37"/>
      <c r="H459" s="37">
        <f t="shared" si="249"/>
        <v>868800</v>
      </c>
      <c r="I459" s="37">
        <f ca="1">(RANDBETWEEN($E$14,$F$14)*$I$9)+$I$10+$I$18</f>
        <v>-189819.59895313275</v>
      </c>
      <c r="J459" s="37">
        <f ca="1">(RANDBETWEEN($E$14,$F$14)*$J$9)+$J$10+$J$18</f>
        <v>-9238.8910066427197</v>
      </c>
      <c r="K459" s="37">
        <f ca="1">(RANDBETWEEN($E$14,$F$14)*$K$9)+$K$10+$K$18</f>
        <v>24363.532183028292</v>
      </c>
      <c r="L459" s="37">
        <f ca="1">(RANDBETWEEN($E$14,$F$14)*$L$9)+$L$10+$L$18</f>
        <v>671221.40421803342</v>
      </c>
      <c r="M459" s="37">
        <f ca="1">(RANDBETWEEN($E$14,$F$14)*$M$9)+$M$10+$M$18</f>
        <v>1424944.0925515993</v>
      </c>
      <c r="N459" s="37">
        <f t="shared" ref="N459" ca="1" si="423">NPV($E$23+$F$23,H459:M459)+$H$4</f>
        <v>1196936.3912973143</v>
      </c>
    </row>
    <row r="460" spans="4:17" x14ac:dyDescent="0.25">
      <c r="D460" s="33"/>
      <c r="E460" s="33">
        <v>430</v>
      </c>
      <c r="F460" s="37"/>
      <c r="G460" s="37"/>
      <c r="H460" s="37">
        <f t="shared" si="249"/>
        <v>868800</v>
      </c>
      <c r="I460" s="37">
        <f ca="1">(RANDBETWEEN($E$14,$F$14)*$I$9)+$I$10+$I$18</f>
        <v>-189819.59895313275</v>
      </c>
      <c r="J460" s="37">
        <f ca="1">(RANDBETWEEN($E$14,$F$14)*$J$9)+$J$10+$J$18</f>
        <v>221933.48456383706</v>
      </c>
      <c r="K460" s="37">
        <f ca="1">(RANDBETWEEN($E$14,$F$14)*$K$9)+$K$10+$K$18</f>
        <v>260393.25392346107</v>
      </c>
      <c r="L460" s="37">
        <f ca="1">(RANDBETWEEN($E$14,$F$14)*$L$9)+$L$10+$L$18</f>
        <v>671221.40421803342</v>
      </c>
      <c r="M460" s="37">
        <f ca="1">(RANDBETWEEN($E$14,$F$14)*$M$9)+$M$10+$M$18</f>
        <v>1043245.7659826493</v>
      </c>
      <c r="N460" s="37">
        <f t="shared" ref="N460" ca="1" si="424">NPV($E$23+$F$23,H460:M460)+$H$4</f>
        <v>1305984.8491010414</v>
      </c>
      <c r="Q460" s="37"/>
    </row>
    <row r="461" spans="4:17" x14ac:dyDescent="0.25">
      <c r="D461" s="33"/>
      <c r="E461" s="33">
        <v>431</v>
      </c>
      <c r="F461" s="37"/>
      <c r="G461" s="37"/>
      <c r="H461" s="37">
        <f t="shared" si="249"/>
        <v>868800</v>
      </c>
      <c r="I461" s="37">
        <f ca="1">(RANDBETWEEN($E$14,$F$14)*$I$9)+$I$10+$I$18</f>
        <v>-369472.96408399101</v>
      </c>
      <c r="J461" s="37">
        <f ca="1">(RANDBETWEEN($E$14,$F$14)*$J$9)+$J$10+$J$18</f>
        <v>221933.48456383706</v>
      </c>
      <c r="K461" s="37">
        <f ca="1">(RANDBETWEEN($E$14,$F$14)*$K$9)+$K$10+$K$18</f>
        <v>260393.25392346107</v>
      </c>
      <c r="L461" s="37">
        <f ca="1">(RANDBETWEEN($E$14,$F$14)*$L$9)+$L$10+$L$18</f>
        <v>671221.40421803342</v>
      </c>
      <c r="M461" s="37">
        <f ca="1">(RANDBETWEEN($E$14,$F$14)*$M$9)+$M$10+$M$18</f>
        <v>1424944.0925515993</v>
      </c>
      <c r="N461" s="37">
        <f t="shared" ref="N461" ca="1" si="425">NPV($E$23+$F$23,H461:M461)+$H$4</f>
        <v>1427863.1191793513</v>
      </c>
    </row>
    <row r="462" spans="4:17" x14ac:dyDescent="0.25">
      <c r="D462" s="33"/>
      <c r="E462" s="33">
        <v>432</v>
      </c>
      <c r="F462" s="37"/>
      <c r="G462" s="37"/>
      <c r="H462" s="37">
        <f t="shared" si="249"/>
        <v>868800</v>
      </c>
      <c r="I462" s="37">
        <f ca="1">(RANDBETWEEN($E$14,$F$14)*$I$9)+$I$10+$I$18</f>
        <v>-189819.59895313275</v>
      </c>
      <c r="J462" s="37">
        <f ca="1">(RANDBETWEEN($E$14,$F$14)*$J$9)+$J$10+$J$18</f>
        <v>221933.48456383706</v>
      </c>
      <c r="K462" s="37">
        <f ca="1">(RANDBETWEEN($E$14,$F$14)*$K$9)+$K$10+$K$18</f>
        <v>24363.532183028292</v>
      </c>
      <c r="L462" s="37">
        <f ca="1">(RANDBETWEEN($E$14,$F$14)*$L$9)+$L$10+$L$18</f>
        <v>671221.40421803342</v>
      </c>
      <c r="M462" s="37">
        <f ca="1">(RANDBETWEEN($E$14,$F$14)*$M$9)+$M$10+$M$18</f>
        <v>1043245.7659826493</v>
      </c>
      <c r="N462" s="37">
        <f t="shared" ref="N462" ca="1" si="426">NPV($E$23+$F$23,H462:M462)+$H$4</f>
        <v>1111802.6129007479</v>
      </c>
    </row>
    <row r="463" spans="4:17" x14ac:dyDescent="0.25">
      <c r="D463" s="33"/>
      <c r="E463" s="33">
        <v>433</v>
      </c>
      <c r="F463" s="37"/>
      <c r="G463" s="37"/>
      <c r="H463" s="37">
        <f t="shared" si="249"/>
        <v>868800</v>
      </c>
      <c r="I463" s="37">
        <f ca="1">(RANDBETWEEN($E$14,$F$14)*$I$9)+$I$10+$I$18</f>
        <v>-369472.96408399101</v>
      </c>
      <c r="J463" s="37">
        <f ca="1">(RANDBETWEEN($E$14,$F$14)*$J$9)+$J$10+$J$18</f>
        <v>-9238.8910066427197</v>
      </c>
      <c r="K463" s="37">
        <f ca="1">(RANDBETWEEN($E$14,$F$14)*$K$9)+$K$10+$K$18</f>
        <v>260393.25392346107</v>
      </c>
      <c r="L463" s="37">
        <f ca="1">(RANDBETWEEN($E$14,$F$14)*$L$9)+$L$10+$L$18</f>
        <v>999716.39339203853</v>
      </c>
      <c r="M463" s="37">
        <f ca="1">(RANDBETWEEN($E$14,$F$14)*$M$9)+$M$10+$M$18</f>
        <v>1043245.7659826493</v>
      </c>
      <c r="N463" s="37">
        <f t="shared" ref="N463" ca="1" si="427">NPV($E$23+$F$23,H463:M463)+$H$4</f>
        <v>1200722.9808351514</v>
      </c>
      <c r="Q463" s="37"/>
    </row>
    <row r="464" spans="4:17" x14ac:dyDescent="0.25">
      <c r="D464" s="33"/>
      <c r="E464" s="33">
        <v>434</v>
      </c>
      <c r="F464" s="37"/>
      <c r="G464" s="37"/>
      <c r="H464" s="37">
        <f t="shared" si="249"/>
        <v>868800</v>
      </c>
      <c r="I464" s="37">
        <f ca="1">(RANDBETWEEN($E$14,$F$14)*$I$9)+$I$10+$I$18</f>
        <v>-189819.59895313275</v>
      </c>
      <c r="J464" s="37">
        <f ca="1">(RANDBETWEEN($E$14,$F$14)*$J$9)+$J$10+$J$18</f>
        <v>221933.48456383706</v>
      </c>
      <c r="K464" s="37">
        <f ca="1">(RANDBETWEEN($E$14,$F$14)*$K$9)+$K$10+$K$18</f>
        <v>24363.532183028292</v>
      </c>
      <c r="L464" s="37">
        <f ca="1">(RANDBETWEEN($E$14,$F$14)*$L$9)+$L$10+$L$18</f>
        <v>999716.39339203853</v>
      </c>
      <c r="M464" s="37">
        <f ca="1">(RANDBETWEEN($E$14,$F$14)*$M$9)+$M$10+$M$18</f>
        <v>1043245.7659826493</v>
      </c>
      <c r="N464" s="37">
        <f t="shared" ref="N464" ca="1" si="428">NPV($E$23+$F$23,H464:M464)+$H$4</f>
        <v>1369187.0324723539</v>
      </c>
    </row>
    <row r="465" spans="4:17" x14ac:dyDescent="0.25">
      <c r="D465" s="33"/>
      <c r="E465" s="33">
        <v>435</v>
      </c>
      <c r="F465" s="37"/>
      <c r="G465" s="37"/>
      <c r="H465" s="37">
        <f t="shared" si="249"/>
        <v>868800</v>
      </c>
      <c r="I465" s="37">
        <f ca="1">(RANDBETWEEN($E$14,$F$14)*$I$9)+$I$10+$I$18</f>
        <v>-369472.96408399101</v>
      </c>
      <c r="J465" s="37">
        <f ca="1">(RANDBETWEEN($E$14,$F$14)*$J$9)+$J$10+$J$18</f>
        <v>-9238.8910066427197</v>
      </c>
      <c r="K465" s="37">
        <f ca="1">(RANDBETWEEN($E$14,$F$14)*$K$9)+$K$10+$K$18</f>
        <v>24363.532183028292</v>
      </c>
      <c r="L465" s="37">
        <f ca="1">(RANDBETWEEN($E$14,$F$14)*$L$9)+$L$10+$L$18</f>
        <v>999716.39339203853</v>
      </c>
      <c r="M465" s="37">
        <f ca="1">(RANDBETWEEN($E$14,$F$14)*$M$9)+$M$10+$M$18</f>
        <v>1043245.7659826493</v>
      </c>
      <c r="N465" s="37">
        <f t="shared" ref="N465" ca="1" si="429">NPV($E$23+$F$23,H465:M465)+$H$4</f>
        <v>1006540.7446348586</v>
      </c>
    </row>
    <row r="466" spans="4:17" x14ac:dyDescent="0.25">
      <c r="D466" s="33"/>
      <c r="E466" s="33">
        <v>436</v>
      </c>
      <c r="F466" s="37"/>
      <c r="G466" s="37"/>
      <c r="H466" s="37">
        <f t="shared" si="249"/>
        <v>868800</v>
      </c>
      <c r="I466" s="37">
        <f ca="1">(RANDBETWEEN($E$14,$F$14)*$I$9)+$I$10+$I$18</f>
        <v>-189819.59895313275</v>
      </c>
      <c r="J466" s="37">
        <f ca="1">(RANDBETWEEN($E$14,$F$14)*$J$9)+$J$10+$J$18</f>
        <v>221933.48456383706</v>
      </c>
      <c r="K466" s="37">
        <f ca="1">(RANDBETWEEN($E$14,$F$14)*$K$9)+$K$10+$K$18</f>
        <v>260393.25392346107</v>
      </c>
      <c r="L466" s="37">
        <f ca="1">(RANDBETWEEN($E$14,$F$14)*$L$9)+$L$10+$L$18</f>
        <v>671221.40421803342</v>
      </c>
      <c r="M466" s="37">
        <f ca="1">(RANDBETWEEN($E$14,$F$14)*$M$9)+$M$10+$M$18</f>
        <v>1043245.7659826493</v>
      </c>
      <c r="N466" s="37">
        <f t="shared" ref="N466" ca="1" si="430">NPV($E$23+$F$23,H466:M466)+$H$4</f>
        <v>1305984.8491010414</v>
      </c>
    </row>
    <row r="467" spans="4:17" x14ac:dyDescent="0.25">
      <c r="D467" s="33"/>
      <c r="E467" s="33">
        <v>437</v>
      </c>
      <c r="F467" s="37"/>
      <c r="G467" s="37"/>
      <c r="H467" s="37">
        <f t="shared" si="249"/>
        <v>868800</v>
      </c>
      <c r="I467" s="37">
        <f ca="1">(RANDBETWEEN($E$14,$F$14)*$I$9)+$I$10+$I$18</f>
        <v>-189819.59895313275</v>
      </c>
      <c r="J467" s="37">
        <f ca="1">(RANDBETWEEN($E$14,$F$14)*$J$9)+$J$10+$J$18</f>
        <v>-9238.8910066427197</v>
      </c>
      <c r="K467" s="37">
        <f ca="1">(RANDBETWEEN($E$14,$F$14)*$K$9)+$K$10+$K$18</f>
        <v>260393.25392346107</v>
      </c>
      <c r="L467" s="37">
        <f ca="1">(RANDBETWEEN($E$14,$F$14)*$L$9)+$L$10+$L$18</f>
        <v>999716.39339203853</v>
      </c>
      <c r="M467" s="37">
        <f ca="1">(RANDBETWEEN($E$14,$F$14)*$M$9)+$M$10+$M$18</f>
        <v>1043245.7659826493</v>
      </c>
      <c r="N467" s="37">
        <f t="shared" ref="N467" ca="1" si="431">NPV($E$23+$F$23,H467:M467)+$H$4</f>
        <v>1363673.8789130282</v>
      </c>
    </row>
    <row r="468" spans="4:17" x14ac:dyDescent="0.25">
      <c r="D468" s="33"/>
      <c r="E468" s="33">
        <v>438</v>
      </c>
      <c r="F468" s="37"/>
      <c r="G468" s="37"/>
      <c r="H468" s="37">
        <f t="shared" si="249"/>
        <v>868800</v>
      </c>
      <c r="I468" s="37">
        <f ca="1">(RANDBETWEEN($E$14,$F$14)*$I$9)+$I$10+$I$18</f>
        <v>-369472.96408399101</v>
      </c>
      <c r="J468" s="37">
        <f ca="1">(RANDBETWEEN($E$14,$F$14)*$J$9)+$J$10+$J$18</f>
        <v>221933.48456383706</v>
      </c>
      <c r="K468" s="37">
        <f ca="1">(RANDBETWEEN($E$14,$F$14)*$K$9)+$K$10+$K$18</f>
        <v>24363.532183028292</v>
      </c>
      <c r="L468" s="37">
        <f ca="1">(RANDBETWEEN($E$14,$F$14)*$L$9)+$L$10+$L$18</f>
        <v>671221.40421803342</v>
      </c>
      <c r="M468" s="37">
        <f ca="1">(RANDBETWEEN($E$14,$F$14)*$M$9)+$M$10+$M$18</f>
        <v>1424944.0925515993</v>
      </c>
      <c r="N468" s="37">
        <f t="shared" ref="N468" ca="1" si="432">NPV($E$23+$F$23,H468:M468)+$H$4</f>
        <v>1233680.8829790577</v>
      </c>
      <c r="Q468" s="37"/>
    </row>
    <row r="469" spans="4:17" x14ac:dyDescent="0.25">
      <c r="D469" s="33"/>
      <c r="E469" s="33">
        <v>439</v>
      </c>
      <c r="F469" s="37"/>
      <c r="G469" s="37"/>
      <c r="H469" s="37">
        <f t="shared" si="249"/>
        <v>868800</v>
      </c>
      <c r="I469" s="37">
        <f ca="1">(RANDBETWEEN($E$14,$F$14)*$I$9)+$I$10+$I$18</f>
        <v>-369472.96408399101</v>
      </c>
      <c r="J469" s="37">
        <f ca="1">(RANDBETWEEN($E$14,$F$14)*$J$9)+$J$10+$J$18</f>
        <v>221933.48456383706</v>
      </c>
      <c r="K469" s="37">
        <f ca="1">(RANDBETWEEN($E$14,$F$14)*$K$9)+$K$10+$K$18</f>
        <v>24363.532183028292</v>
      </c>
      <c r="L469" s="37">
        <f ca="1">(RANDBETWEEN($E$14,$F$14)*$L$9)+$L$10+$L$18</f>
        <v>671221.40421803342</v>
      </c>
      <c r="M469" s="37">
        <f ca="1">(RANDBETWEEN($E$14,$F$14)*$M$9)+$M$10+$M$18</f>
        <v>1424944.0925515993</v>
      </c>
      <c r="N469" s="37">
        <f t="shared" ref="N469" ca="1" si="433">NPV($E$23+$F$23,H469:M469)+$H$4</f>
        <v>1233680.8829790577</v>
      </c>
      <c r="Q469" s="37"/>
    </row>
    <row r="470" spans="4:17" x14ac:dyDescent="0.25">
      <c r="D470" s="33"/>
      <c r="E470" s="33">
        <v>440</v>
      </c>
      <c r="F470" s="37"/>
      <c r="G470" s="37"/>
      <c r="H470" s="37">
        <f t="shared" si="249"/>
        <v>868800</v>
      </c>
      <c r="I470" s="37">
        <f ca="1">(RANDBETWEEN($E$14,$F$14)*$I$9)+$I$10+$I$18</f>
        <v>-189819.59895313275</v>
      </c>
      <c r="J470" s="37">
        <f ca="1">(RANDBETWEEN($E$14,$F$14)*$J$9)+$J$10+$J$18</f>
        <v>221933.48456383706</v>
      </c>
      <c r="K470" s="37">
        <f ca="1">(RANDBETWEEN($E$14,$F$14)*$K$9)+$K$10+$K$18</f>
        <v>260393.25392346107</v>
      </c>
      <c r="L470" s="37">
        <f ca="1">(RANDBETWEEN($E$14,$F$14)*$L$9)+$L$10+$L$18</f>
        <v>671221.40421803342</v>
      </c>
      <c r="M470" s="37">
        <f ca="1">(RANDBETWEEN($E$14,$F$14)*$M$9)+$M$10+$M$18</f>
        <v>1424944.0925515993</v>
      </c>
      <c r="N470" s="37">
        <f t="shared" ref="N470" ca="1" si="434">NPV($E$23+$F$23,H470:M470)+$H$4</f>
        <v>1590814.0172572271</v>
      </c>
    </row>
    <row r="471" spans="4:17" x14ac:dyDescent="0.25">
      <c r="D471" s="33"/>
      <c r="E471" s="33">
        <v>441</v>
      </c>
      <c r="F471" s="37"/>
      <c r="G471" s="37"/>
      <c r="H471" s="37">
        <f t="shared" si="249"/>
        <v>868800</v>
      </c>
      <c r="I471" s="37">
        <f ca="1">(RANDBETWEEN($E$14,$F$14)*$I$9)+$I$10+$I$18</f>
        <v>-369472.96408399101</v>
      </c>
      <c r="J471" s="37">
        <f ca="1">(RANDBETWEEN($E$14,$F$14)*$J$9)+$J$10+$J$18</f>
        <v>-9238.8910066427197</v>
      </c>
      <c r="K471" s="37">
        <f ca="1">(RANDBETWEEN($E$14,$F$14)*$K$9)+$K$10+$K$18</f>
        <v>260393.25392346107</v>
      </c>
      <c r="L471" s="37">
        <f ca="1">(RANDBETWEEN($E$14,$F$14)*$L$9)+$L$10+$L$18</f>
        <v>999716.39339203853</v>
      </c>
      <c r="M471" s="37">
        <f ca="1">(RANDBETWEEN($E$14,$F$14)*$M$9)+$M$10+$M$18</f>
        <v>1424944.0925515993</v>
      </c>
      <c r="N471" s="37">
        <f t="shared" ref="N471" ca="1" si="435">NPV($E$23+$F$23,H471:M471)+$H$4</f>
        <v>1485552.1489913375</v>
      </c>
      <c r="Q471" s="37"/>
    </row>
    <row r="472" spans="4:17" x14ac:dyDescent="0.25">
      <c r="D472" s="33"/>
      <c r="E472" s="33">
        <v>442</v>
      </c>
      <c r="F472" s="37"/>
      <c r="G472" s="37"/>
      <c r="H472" s="37">
        <f t="shared" si="249"/>
        <v>868800</v>
      </c>
      <c r="I472" s="37">
        <f ca="1">(RANDBETWEEN($E$14,$F$14)*$I$9)+$I$10+$I$18</f>
        <v>-369472.96408399101</v>
      </c>
      <c r="J472" s="37">
        <f ca="1">(RANDBETWEEN($E$14,$F$14)*$J$9)+$J$10+$J$18</f>
        <v>221933.48456383706</v>
      </c>
      <c r="K472" s="37">
        <f ca="1">(RANDBETWEEN($E$14,$F$14)*$K$9)+$K$10+$K$18</f>
        <v>260393.25392346107</v>
      </c>
      <c r="L472" s="37">
        <f ca="1">(RANDBETWEEN($E$14,$F$14)*$L$9)+$L$10+$L$18</f>
        <v>999716.39339203853</v>
      </c>
      <c r="M472" s="37">
        <f ca="1">(RANDBETWEEN($E$14,$F$14)*$M$9)+$M$10+$M$18</f>
        <v>1043245.7659826493</v>
      </c>
      <c r="N472" s="37">
        <f t="shared" ref="N472" ca="1" si="436">NPV($E$23+$F$23,H472:M472)+$H$4</f>
        <v>1400418.3705947716</v>
      </c>
    </row>
    <row r="473" spans="4:17" x14ac:dyDescent="0.25">
      <c r="D473" s="33"/>
      <c r="E473" s="33">
        <v>443</v>
      </c>
      <c r="F473" s="37"/>
      <c r="G473" s="37"/>
      <c r="H473" s="37">
        <f t="shared" si="249"/>
        <v>868800</v>
      </c>
      <c r="I473" s="37">
        <f ca="1">(RANDBETWEEN($E$14,$F$14)*$I$9)+$I$10+$I$18</f>
        <v>-369472.96408399101</v>
      </c>
      <c r="J473" s="37">
        <f ca="1">(RANDBETWEEN($E$14,$F$14)*$J$9)+$J$10+$J$18</f>
        <v>221933.48456383706</v>
      </c>
      <c r="K473" s="37">
        <f ca="1">(RANDBETWEEN($E$14,$F$14)*$K$9)+$K$10+$K$18</f>
        <v>24363.532183028292</v>
      </c>
      <c r="L473" s="37">
        <f ca="1">(RANDBETWEEN($E$14,$F$14)*$L$9)+$L$10+$L$18</f>
        <v>671221.40421803342</v>
      </c>
      <c r="M473" s="37">
        <f ca="1">(RANDBETWEEN($E$14,$F$14)*$M$9)+$M$10+$M$18</f>
        <v>1424944.0925515993</v>
      </c>
      <c r="N473" s="37">
        <f t="shared" ref="N473" ca="1" si="437">NPV($E$23+$F$23,H473:M473)+$H$4</f>
        <v>1233680.8829790577</v>
      </c>
    </row>
    <row r="474" spans="4:17" x14ac:dyDescent="0.25">
      <c r="D474" s="33"/>
      <c r="E474" s="33">
        <v>444</v>
      </c>
      <c r="F474" s="37"/>
      <c r="G474" s="37"/>
      <c r="H474" s="37">
        <f t="shared" si="249"/>
        <v>868800</v>
      </c>
      <c r="I474" s="37">
        <f ca="1">(RANDBETWEEN($E$14,$F$14)*$I$9)+$I$10+$I$18</f>
        <v>-189819.59895313275</v>
      </c>
      <c r="J474" s="37">
        <f ca="1">(RANDBETWEEN($E$14,$F$14)*$J$9)+$J$10+$J$18</f>
        <v>221933.48456383706</v>
      </c>
      <c r="K474" s="37">
        <f ca="1">(RANDBETWEEN($E$14,$F$14)*$K$9)+$K$10+$K$18</f>
        <v>24363.532183028292</v>
      </c>
      <c r="L474" s="37">
        <f ca="1">(RANDBETWEEN($E$14,$F$14)*$L$9)+$L$10+$L$18</f>
        <v>671221.40421803342</v>
      </c>
      <c r="M474" s="37">
        <f ca="1">(RANDBETWEEN($E$14,$F$14)*$M$9)+$M$10+$M$18</f>
        <v>1043245.7659826493</v>
      </c>
      <c r="N474" s="37">
        <f t="shared" ref="N474" ca="1" si="438">NPV($E$23+$F$23,H474:M474)+$H$4</f>
        <v>1111802.6129007479</v>
      </c>
    </row>
    <row r="475" spans="4:17" x14ac:dyDescent="0.25">
      <c r="D475" s="33"/>
      <c r="E475" s="33">
        <v>445</v>
      </c>
      <c r="F475" s="37"/>
      <c r="G475" s="37"/>
      <c r="H475" s="37">
        <f t="shared" si="249"/>
        <v>868800</v>
      </c>
      <c r="I475" s="37">
        <f ca="1">(RANDBETWEEN($E$14,$F$14)*$I$9)+$I$10+$I$18</f>
        <v>-369472.96408399101</v>
      </c>
      <c r="J475" s="37">
        <f ca="1">(RANDBETWEEN($E$14,$F$14)*$J$9)+$J$10+$J$18</f>
        <v>-9238.8910066427197</v>
      </c>
      <c r="K475" s="37">
        <f ca="1">(RANDBETWEEN($E$14,$F$14)*$K$9)+$K$10+$K$18</f>
        <v>260393.25392346107</v>
      </c>
      <c r="L475" s="37">
        <f ca="1">(RANDBETWEEN($E$14,$F$14)*$L$9)+$L$10+$L$18</f>
        <v>671221.40421803342</v>
      </c>
      <c r="M475" s="37">
        <f ca="1">(RANDBETWEEN($E$14,$F$14)*$M$9)+$M$10+$M$18</f>
        <v>1424944.0925515993</v>
      </c>
      <c r="N475" s="37">
        <f t="shared" ref="N475" ca="1" si="439">NPV($E$23+$F$23,H475:M475)+$H$4</f>
        <v>1228167.7294197315</v>
      </c>
    </row>
    <row r="476" spans="4:17" x14ac:dyDescent="0.25">
      <c r="D476" s="33"/>
      <c r="E476" s="33">
        <v>446</v>
      </c>
      <c r="F476" s="37"/>
      <c r="G476" s="37"/>
      <c r="H476" s="37">
        <f t="shared" si="249"/>
        <v>868800</v>
      </c>
      <c r="I476" s="37">
        <f ca="1">(RANDBETWEEN($E$14,$F$14)*$I$9)+$I$10+$I$18</f>
        <v>-369472.96408399101</v>
      </c>
      <c r="J476" s="37">
        <f ca="1">(RANDBETWEEN($E$14,$F$14)*$J$9)+$J$10+$J$18</f>
        <v>-9238.8910066427197</v>
      </c>
      <c r="K476" s="37">
        <f ca="1">(RANDBETWEEN($E$14,$F$14)*$K$9)+$K$10+$K$18</f>
        <v>24363.532183028292</v>
      </c>
      <c r="L476" s="37">
        <f ca="1">(RANDBETWEEN($E$14,$F$14)*$L$9)+$L$10+$L$18</f>
        <v>999716.39339203853</v>
      </c>
      <c r="M476" s="37">
        <f ca="1">(RANDBETWEEN($E$14,$F$14)*$M$9)+$M$10+$M$18</f>
        <v>1424944.0925515993</v>
      </c>
      <c r="N476" s="37">
        <f t="shared" ref="N476" ca="1" si="440">NPV($E$23+$F$23,H476:M476)+$H$4</f>
        <v>1291369.9127910445</v>
      </c>
      <c r="Q476" s="37"/>
    </row>
    <row r="477" spans="4:17" x14ac:dyDescent="0.25">
      <c r="D477" s="33"/>
      <c r="E477" s="33">
        <v>447</v>
      </c>
      <c r="F477" s="37"/>
      <c r="G477" s="37"/>
      <c r="H477" s="37">
        <f t="shared" si="249"/>
        <v>868800</v>
      </c>
      <c r="I477" s="37">
        <f ca="1">(RANDBETWEEN($E$14,$F$14)*$I$9)+$I$10+$I$18</f>
        <v>-369472.96408399101</v>
      </c>
      <c r="J477" s="37">
        <f ca="1">(RANDBETWEEN($E$14,$F$14)*$J$9)+$J$10+$J$18</f>
        <v>-9238.8910066427197</v>
      </c>
      <c r="K477" s="37">
        <f ca="1">(RANDBETWEEN($E$14,$F$14)*$K$9)+$K$10+$K$18</f>
        <v>24363.532183028292</v>
      </c>
      <c r="L477" s="37">
        <f ca="1">(RANDBETWEEN($E$14,$F$14)*$L$9)+$L$10+$L$18</f>
        <v>671221.40421803342</v>
      </c>
      <c r="M477" s="37">
        <f ca="1">(RANDBETWEEN($E$14,$F$14)*$M$9)+$M$10+$M$18</f>
        <v>1424944.0925515993</v>
      </c>
      <c r="N477" s="37">
        <f t="shared" ref="N477" ca="1" si="441">NPV($E$23+$F$23,H477:M477)+$H$4</f>
        <v>1033985.4932194382</v>
      </c>
    </row>
    <row r="478" spans="4:17" x14ac:dyDescent="0.25">
      <c r="D478" s="33"/>
      <c r="E478" s="33">
        <v>448</v>
      </c>
      <c r="F478" s="37"/>
      <c r="G478" s="37"/>
      <c r="H478" s="37">
        <f t="shared" si="249"/>
        <v>868800</v>
      </c>
      <c r="I478" s="37">
        <f ca="1">(RANDBETWEEN($E$14,$F$14)*$I$9)+$I$10+$I$18</f>
        <v>-369472.96408399101</v>
      </c>
      <c r="J478" s="37">
        <f ca="1">(RANDBETWEEN($E$14,$F$14)*$J$9)+$J$10+$J$18</f>
        <v>221933.48456383706</v>
      </c>
      <c r="K478" s="37">
        <f ca="1">(RANDBETWEEN($E$14,$F$14)*$K$9)+$K$10+$K$18</f>
        <v>24363.532183028292</v>
      </c>
      <c r="L478" s="37">
        <f ca="1">(RANDBETWEEN($E$14,$F$14)*$L$9)+$L$10+$L$18</f>
        <v>999716.39339203853</v>
      </c>
      <c r="M478" s="37">
        <f ca="1">(RANDBETWEEN($E$14,$F$14)*$M$9)+$M$10+$M$18</f>
        <v>1043245.7659826493</v>
      </c>
      <c r="N478" s="37">
        <f t="shared" ref="N478" ca="1" si="442">NPV($E$23+$F$23,H478:M478)+$H$4</f>
        <v>1206236.1343944785</v>
      </c>
    </row>
    <row r="479" spans="4:17" x14ac:dyDescent="0.25">
      <c r="D479" s="33"/>
      <c r="E479" s="33">
        <v>449</v>
      </c>
      <c r="F479" s="37"/>
      <c r="G479" s="37"/>
      <c r="H479" s="37">
        <f t="shared" si="249"/>
        <v>868800</v>
      </c>
      <c r="I479" s="37">
        <f ca="1">(RANDBETWEEN($E$14,$F$14)*$I$9)+$I$10+$I$18</f>
        <v>-369472.96408399101</v>
      </c>
      <c r="J479" s="37">
        <f ca="1">(RANDBETWEEN($E$14,$F$14)*$J$9)+$J$10+$J$18</f>
        <v>-9238.8910066427197</v>
      </c>
      <c r="K479" s="37">
        <f ca="1">(RANDBETWEEN($E$14,$F$14)*$K$9)+$K$10+$K$18</f>
        <v>24363.532183028292</v>
      </c>
      <c r="L479" s="37">
        <f ca="1">(RANDBETWEEN($E$14,$F$14)*$L$9)+$L$10+$L$18</f>
        <v>671221.40421803342</v>
      </c>
      <c r="M479" s="37">
        <f ca="1">(RANDBETWEEN($E$14,$F$14)*$M$9)+$M$10+$M$18</f>
        <v>1424944.0925515993</v>
      </c>
      <c r="N479" s="37">
        <f t="shared" ref="N479" ca="1" si="443">NPV($E$23+$F$23,H479:M479)+$H$4</f>
        <v>1033985.4932194382</v>
      </c>
      <c r="Q479" s="37"/>
    </row>
    <row r="480" spans="4:17" x14ac:dyDescent="0.25">
      <c r="D480" s="33"/>
      <c r="E480" s="33">
        <v>450</v>
      </c>
      <c r="F480" s="37"/>
      <c r="G480" s="37"/>
      <c r="H480" s="37">
        <f t="shared" si="249"/>
        <v>868800</v>
      </c>
      <c r="I480" s="37">
        <f ca="1">(RANDBETWEEN($E$14,$F$14)*$I$9)+$I$10+$I$18</f>
        <v>-189819.59895313275</v>
      </c>
      <c r="J480" s="37">
        <f ca="1">(RANDBETWEEN($E$14,$F$14)*$J$9)+$J$10+$J$18</f>
        <v>221933.48456383706</v>
      </c>
      <c r="K480" s="37">
        <f ca="1">(RANDBETWEEN($E$14,$F$14)*$K$9)+$K$10+$K$18</f>
        <v>24363.532183028292</v>
      </c>
      <c r="L480" s="37">
        <f ca="1">(RANDBETWEEN($E$14,$F$14)*$L$9)+$L$10+$L$18</f>
        <v>999716.39339203853</v>
      </c>
      <c r="M480" s="37">
        <f ca="1">(RANDBETWEEN($E$14,$F$14)*$M$9)+$M$10+$M$18</f>
        <v>1424944.0925515993</v>
      </c>
      <c r="N480" s="37">
        <f t="shared" ref="N480" ca="1" si="444">NPV($E$23+$F$23,H480:M480)+$H$4</f>
        <v>1654016.20062854</v>
      </c>
    </row>
    <row r="481" spans="4:14" x14ac:dyDescent="0.25">
      <c r="D481" s="33"/>
      <c r="E481" s="33">
        <v>451</v>
      </c>
      <c r="F481" s="37"/>
      <c r="G481" s="37"/>
      <c r="H481" s="37">
        <f t="shared" si="249"/>
        <v>868800</v>
      </c>
      <c r="I481" s="37">
        <f ca="1">(RANDBETWEEN($E$14,$F$14)*$I$9)+$I$10+$I$18</f>
        <v>-369472.96408399101</v>
      </c>
      <c r="J481" s="37">
        <f ca="1">(RANDBETWEEN($E$14,$F$14)*$J$9)+$J$10+$J$18</f>
        <v>221933.48456383706</v>
      </c>
      <c r="K481" s="37">
        <f ca="1">(RANDBETWEEN($E$14,$F$14)*$K$9)+$K$10+$K$18</f>
        <v>260393.25392346107</v>
      </c>
      <c r="L481" s="37">
        <f ca="1">(RANDBETWEEN($E$14,$F$14)*$L$9)+$L$10+$L$18</f>
        <v>671221.40421803342</v>
      </c>
      <c r="M481" s="37">
        <f ca="1">(RANDBETWEEN($E$14,$F$14)*$M$9)+$M$10+$M$18</f>
        <v>1424944.0925515993</v>
      </c>
      <c r="N481" s="37">
        <f t="shared" ref="N481" ca="1" si="445">NPV($E$23+$F$23,H481:M481)+$H$4</f>
        <v>1427863.1191793513</v>
      </c>
    </row>
    <row r="482" spans="4:14" x14ac:dyDescent="0.25">
      <c r="D482" s="33"/>
      <c r="E482" s="33">
        <v>452</v>
      </c>
      <c r="F482" s="37"/>
      <c r="G482" s="37"/>
      <c r="H482" s="37">
        <f t="shared" si="249"/>
        <v>868800</v>
      </c>
      <c r="I482" s="37">
        <f ca="1">(RANDBETWEEN($E$14,$F$14)*$I$9)+$I$10+$I$18</f>
        <v>-369472.96408399101</v>
      </c>
      <c r="J482" s="37">
        <f ca="1">(RANDBETWEEN($E$14,$F$14)*$J$9)+$J$10+$J$18</f>
        <v>221933.48456383706</v>
      </c>
      <c r="K482" s="37">
        <f ca="1">(RANDBETWEEN($E$14,$F$14)*$K$9)+$K$10+$K$18</f>
        <v>260393.25392346107</v>
      </c>
      <c r="L482" s="37">
        <f ca="1">(RANDBETWEEN($E$14,$F$14)*$L$9)+$L$10+$L$18</f>
        <v>999716.39339203853</v>
      </c>
      <c r="M482" s="37">
        <f ca="1">(RANDBETWEEN($E$14,$F$14)*$M$9)+$M$10+$M$18</f>
        <v>1424944.0925515993</v>
      </c>
      <c r="N482" s="37">
        <f t="shared" ref="N482" ca="1" si="446">NPV($E$23+$F$23,H482:M482)+$H$4</f>
        <v>1685247.5387509572</v>
      </c>
    </row>
    <row r="483" spans="4:14" x14ac:dyDescent="0.25">
      <c r="D483" s="33"/>
      <c r="E483" s="33">
        <v>453</v>
      </c>
      <c r="F483" s="37"/>
      <c r="G483" s="37"/>
      <c r="H483" s="37">
        <f t="shared" si="249"/>
        <v>868800</v>
      </c>
      <c r="I483" s="37">
        <f ca="1">(RANDBETWEEN($E$14,$F$14)*$I$9)+$I$10+$I$18</f>
        <v>-369472.96408399101</v>
      </c>
      <c r="J483" s="37">
        <f ca="1">(RANDBETWEEN($E$14,$F$14)*$J$9)+$J$10+$J$18</f>
        <v>-9238.8910066427197</v>
      </c>
      <c r="K483" s="37">
        <f ca="1">(RANDBETWEEN($E$14,$F$14)*$K$9)+$K$10+$K$18</f>
        <v>260393.25392346107</v>
      </c>
      <c r="L483" s="37">
        <f ca="1">(RANDBETWEEN($E$14,$F$14)*$L$9)+$L$10+$L$18</f>
        <v>671221.40421803342</v>
      </c>
      <c r="M483" s="37">
        <f ca="1">(RANDBETWEEN($E$14,$F$14)*$M$9)+$M$10+$M$18</f>
        <v>1043245.7659826493</v>
      </c>
      <c r="N483" s="37">
        <f t="shared" ref="N483" ca="1" si="447">NPV($E$23+$F$23,H483:M483)+$H$4</f>
        <v>943338.56126354542</v>
      </c>
    </row>
    <row r="484" spans="4:14" x14ac:dyDescent="0.25">
      <c r="D484" s="33"/>
      <c r="E484" s="33">
        <v>454</v>
      </c>
      <c r="F484" s="37"/>
      <c r="G484" s="37"/>
      <c r="H484" s="37">
        <f t="shared" si="249"/>
        <v>868800</v>
      </c>
      <c r="I484" s="37">
        <f ca="1">(RANDBETWEEN($E$14,$F$14)*$I$9)+$I$10+$I$18</f>
        <v>-189819.59895313275</v>
      </c>
      <c r="J484" s="37">
        <f ca="1">(RANDBETWEEN($E$14,$F$14)*$J$9)+$J$10+$J$18</f>
        <v>-9238.8910066427197</v>
      </c>
      <c r="K484" s="37">
        <f ca="1">(RANDBETWEEN($E$14,$F$14)*$K$9)+$K$10+$K$18</f>
        <v>24363.532183028292</v>
      </c>
      <c r="L484" s="37">
        <f ca="1">(RANDBETWEEN($E$14,$F$14)*$L$9)+$L$10+$L$18</f>
        <v>671221.40421803342</v>
      </c>
      <c r="M484" s="37">
        <f ca="1">(RANDBETWEEN($E$14,$F$14)*$M$9)+$M$10+$M$18</f>
        <v>1424944.0925515993</v>
      </c>
      <c r="N484" s="37">
        <f t="shared" ref="N484" ca="1" si="448">NPV($E$23+$F$23,H484:M484)+$H$4</f>
        <v>1196936.3912973143</v>
      </c>
    </row>
    <row r="485" spans="4:14" x14ac:dyDescent="0.25">
      <c r="D485" s="33"/>
      <c r="E485" s="33">
        <v>455</v>
      </c>
      <c r="F485" s="37"/>
      <c r="G485" s="37"/>
      <c r="H485" s="37">
        <f t="shared" si="249"/>
        <v>868800</v>
      </c>
      <c r="I485" s="37">
        <f ca="1">(RANDBETWEEN($E$14,$F$14)*$I$9)+$I$10+$I$18</f>
        <v>-189819.59895313275</v>
      </c>
      <c r="J485" s="37">
        <f ca="1">(RANDBETWEEN($E$14,$F$14)*$J$9)+$J$10+$J$18</f>
        <v>-9238.8910066427197</v>
      </c>
      <c r="K485" s="37">
        <f ca="1">(RANDBETWEEN($E$14,$F$14)*$K$9)+$K$10+$K$18</f>
        <v>24363.532183028292</v>
      </c>
      <c r="L485" s="37">
        <f ca="1">(RANDBETWEEN($E$14,$F$14)*$L$9)+$L$10+$L$18</f>
        <v>671221.40421803342</v>
      </c>
      <c r="M485" s="37">
        <f ca="1">(RANDBETWEEN($E$14,$F$14)*$M$9)+$M$10+$M$18</f>
        <v>1424944.0925515993</v>
      </c>
      <c r="N485" s="37">
        <f t="shared" ref="N485" ca="1" si="449">NPV($E$23+$F$23,H485:M485)+$H$4</f>
        <v>1196936.3912973143</v>
      </c>
    </row>
    <row r="486" spans="4:14" x14ac:dyDescent="0.25">
      <c r="D486" s="33"/>
      <c r="E486" s="33">
        <v>456</v>
      </c>
      <c r="F486" s="37"/>
      <c r="G486" s="37"/>
      <c r="H486" s="37">
        <f t="shared" si="249"/>
        <v>868800</v>
      </c>
      <c r="I486" s="37">
        <f ca="1">(RANDBETWEEN($E$14,$F$14)*$I$9)+$I$10+$I$18</f>
        <v>-369472.96408399101</v>
      </c>
      <c r="J486" s="37">
        <f ca="1">(RANDBETWEEN($E$14,$F$14)*$J$9)+$J$10+$J$18</f>
        <v>221933.48456383706</v>
      </c>
      <c r="K486" s="37">
        <f ca="1">(RANDBETWEEN($E$14,$F$14)*$K$9)+$K$10+$K$18</f>
        <v>24363.532183028292</v>
      </c>
      <c r="L486" s="37">
        <f ca="1">(RANDBETWEEN($E$14,$F$14)*$L$9)+$L$10+$L$18</f>
        <v>999716.39339203853</v>
      </c>
      <c r="M486" s="37">
        <f ca="1">(RANDBETWEEN($E$14,$F$14)*$M$9)+$M$10+$M$18</f>
        <v>1424944.0925515993</v>
      </c>
      <c r="N486" s="37">
        <f t="shared" ref="N486" ca="1" si="450">NPV($E$23+$F$23,H486:M486)+$H$4</f>
        <v>1491065.3025506642</v>
      </c>
    </row>
    <row r="487" spans="4:14" x14ac:dyDescent="0.25">
      <c r="D487" s="33"/>
      <c r="E487" s="33">
        <v>457</v>
      </c>
      <c r="F487" s="37"/>
      <c r="G487" s="37"/>
      <c r="H487" s="37">
        <f t="shared" si="249"/>
        <v>868800</v>
      </c>
      <c r="I487" s="37">
        <f ca="1">(RANDBETWEEN($E$14,$F$14)*$I$9)+$I$10+$I$18</f>
        <v>-189819.59895313275</v>
      </c>
      <c r="J487" s="37">
        <f ca="1">(RANDBETWEEN($E$14,$F$14)*$J$9)+$J$10+$J$18</f>
        <v>221933.48456383706</v>
      </c>
      <c r="K487" s="37">
        <f ca="1">(RANDBETWEEN($E$14,$F$14)*$K$9)+$K$10+$K$18</f>
        <v>260393.25392346107</v>
      </c>
      <c r="L487" s="37">
        <f ca="1">(RANDBETWEEN($E$14,$F$14)*$L$9)+$L$10+$L$18</f>
        <v>999716.39339203853</v>
      </c>
      <c r="M487" s="37">
        <f ca="1">(RANDBETWEEN($E$14,$F$14)*$M$9)+$M$10+$M$18</f>
        <v>1043245.7659826493</v>
      </c>
      <c r="N487" s="37">
        <f t="shared" ref="N487" ca="1" si="451">NPV($E$23+$F$23,H487:M487)+$H$4</f>
        <v>1563369.2686726474</v>
      </c>
    </row>
    <row r="488" spans="4:14" x14ac:dyDescent="0.25">
      <c r="D488" s="33"/>
      <c r="E488" s="33">
        <v>458</v>
      </c>
      <c r="F488" s="37"/>
      <c r="G488" s="37"/>
      <c r="H488" s="37">
        <f t="shared" si="249"/>
        <v>868800</v>
      </c>
      <c r="I488" s="37">
        <f ca="1">(RANDBETWEEN($E$14,$F$14)*$I$9)+$I$10+$I$18</f>
        <v>-369472.96408399101</v>
      </c>
      <c r="J488" s="37">
        <f ca="1">(RANDBETWEEN($E$14,$F$14)*$J$9)+$J$10+$J$18</f>
        <v>221933.48456383706</v>
      </c>
      <c r="K488" s="37">
        <f ca="1">(RANDBETWEEN($E$14,$F$14)*$K$9)+$K$10+$K$18</f>
        <v>24363.532183028292</v>
      </c>
      <c r="L488" s="37">
        <f ca="1">(RANDBETWEEN($E$14,$F$14)*$L$9)+$L$10+$L$18</f>
        <v>999716.39339203853</v>
      </c>
      <c r="M488" s="37">
        <f ca="1">(RANDBETWEEN($E$14,$F$14)*$M$9)+$M$10+$M$18</f>
        <v>1424944.0925515993</v>
      </c>
      <c r="N488" s="37">
        <f t="shared" ref="N488" ca="1" si="452">NPV($E$23+$F$23,H488:M488)+$H$4</f>
        <v>1491065.3025506642</v>
      </c>
    </row>
    <row r="489" spans="4:14" x14ac:dyDescent="0.25">
      <c r="D489" s="33"/>
      <c r="E489" s="33">
        <v>459</v>
      </c>
      <c r="F489" s="37"/>
      <c r="G489" s="37"/>
      <c r="H489" s="37">
        <f t="shared" si="249"/>
        <v>868800</v>
      </c>
      <c r="I489" s="37">
        <f ca="1">(RANDBETWEEN($E$14,$F$14)*$I$9)+$I$10+$I$18</f>
        <v>-369472.96408399101</v>
      </c>
      <c r="J489" s="37">
        <f ca="1">(RANDBETWEEN($E$14,$F$14)*$J$9)+$J$10+$J$18</f>
        <v>221933.48456383706</v>
      </c>
      <c r="K489" s="37">
        <f ca="1">(RANDBETWEEN($E$14,$F$14)*$K$9)+$K$10+$K$18</f>
        <v>24363.532183028292</v>
      </c>
      <c r="L489" s="37">
        <f ca="1">(RANDBETWEEN($E$14,$F$14)*$L$9)+$L$10+$L$18</f>
        <v>999716.39339203853</v>
      </c>
      <c r="M489" s="37">
        <f ca="1">(RANDBETWEEN($E$14,$F$14)*$M$9)+$M$10+$M$18</f>
        <v>1424944.0925515993</v>
      </c>
      <c r="N489" s="37">
        <f t="shared" ref="N489" ca="1" si="453">NPV($E$23+$F$23,H489:M489)+$H$4</f>
        <v>1491065.3025506642</v>
      </c>
    </row>
    <row r="490" spans="4:14" x14ac:dyDescent="0.25">
      <c r="D490" s="33"/>
      <c r="E490" s="33">
        <v>460</v>
      </c>
      <c r="F490" s="37"/>
      <c r="G490" s="37"/>
      <c r="H490" s="37">
        <f t="shared" si="249"/>
        <v>868800</v>
      </c>
      <c r="I490" s="37">
        <f ca="1">(RANDBETWEEN($E$14,$F$14)*$I$9)+$I$10+$I$18</f>
        <v>-189819.59895313275</v>
      </c>
      <c r="J490" s="37">
        <f ca="1">(RANDBETWEEN($E$14,$F$14)*$J$9)+$J$10+$J$18</f>
        <v>221933.48456383706</v>
      </c>
      <c r="K490" s="37">
        <f ca="1">(RANDBETWEEN($E$14,$F$14)*$K$9)+$K$10+$K$18</f>
        <v>24363.532183028292</v>
      </c>
      <c r="L490" s="37">
        <f ca="1">(RANDBETWEEN($E$14,$F$14)*$L$9)+$L$10+$L$18</f>
        <v>999716.39339203853</v>
      </c>
      <c r="M490" s="37">
        <f ca="1">(RANDBETWEEN($E$14,$F$14)*$M$9)+$M$10+$M$18</f>
        <v>1424944.0925515993</v>
      </c>
      <c r="N490" s="37">
        <f t="shared" ref="N490" ca="1" si="454">NPV($E$23+$F$23,H490:M490)+$H$4</f>
        <v>1654016.20062854</v>
      </c>
    </row>
    <row r="491" spans="4:14" x14ac:dyDescent="0.25">
      <c r="D491" s="33"/>
      <c r="E491" s="33">
        <v>461</v>
      </c>
      <c r="F491" s="37"/>
      <c r="G491" s="37"/>
      <c r="H491" s="37">
        <f t="shared" si="249"/>
        <v>868800</v>
      </c>
      <c r="I491" s="37">
        <f ca="1">(RANDBETWEEN($E$14,$F$14)*$I$9)+$I$10+$I$18</f>
        <v>-189819.59895313275</v>
      </c>
      <c r="J491" s="37">
        <f ca="1">(RANDBETWEEN($E$14,$F$14)*$J$9)+$J$10+$J$18</f>
        <v>221933.48456383706</v>
      </c>
      <c r="K491" s="37">
        <f ca="1">(RANDBETWEEN($E$14,$F$14)*$K$9)+$K$10+$K$18</f>
        <v>260393.25392346107</v>
      </c>
      <c r="L491" s="37">
        <f ca="1">(RANDBETWEEN($E$14,$F$14)*$L$9)+$L$10+$L$18</f>
        <v>671221.40421803342</v>
      </c>
      <c r="M491" s="37">
        <f ca="1">(RANDBETWEEN($E$14,$F$14)*$M$9)+$M$10+$M$18</f>
        <v>1424944.0925515993</v>
      </c>
      <c r="N491" s="37">
        <f t="shared" ref="N491" ca="1" si="455">NPV($E$23+$F$23,H491:M491)+$H$4</f>
        <v>1590814.0172572271</v>
      </c>
    </row>
    <row r="492" spans="4:14" x14ac:dyDescent="0.25">
      <c r="D492" s="33"/>
      <c r="E492" s="33">
        <v>462</v>
      </c>
      <c r="F492" s="37"/>
      <c r="G492" s="37"/>
      <c r="H492" s="37">
        <f t="shared" si="249"/>
        <v>868800</v>
      </c>
      <c r="I492" s="37">
        <f ca="1">(RANDBETWEEN($E$14,$F$14)*$I$9)+$I$10+$I$18</f>
        <v>-189819.59895313275</v>
      </c>
      <c r="J492" s="37">
        <f ca="1">(RANDBETWEEN($E$14,$F$14)*$J$9)+$J$10+$J$18</f>
        <v>-9238.8910066427197</v>
      </c>
      <c r="K492" s="37">
        <f ca="1">(RANDBETWEEN($E$14,$F$14)*$K$9)+$K$10+$K$18</f>
        <v>260393.25392346107</v>
      </c>
      <c r="L492" s="37">
        <f ca="1">(RANDBETWEEN($E$14,$F$14)*$L$9)+$L$10+$L$18</f>
        <v>671221.40421803342</v>
      </c>
      <c r="M492" s="37">
        <f ca="1">(RANDBETWEEN($E$14,$F$14)*$M$9)+$M$10+$M$18</f>
        <v>1043245.7659826493</v>
      </c>
      <c r="N492" s="37">
        <f t="shared" ref="N492" ca="1" si="456">NPV($E$23+$F$23,H492:M492)+$H$4</f>
        <v>1106289.4593414213</v>
      </c>
    </row>
    <row r="493" spans="4:14" x14ac:dyDescent="0.25">
      <c r="D493" s="33"/>
      <c r="E493" s="33">
        <v>463</v>
      </c>
      <c r="F493" s="37"/>
      <c r="G493" s="37"/>
      <c r="H493" s="37">
        <f t="shared" si="249"/>
        <v>868800</v>
      </c>
      <c r="I493" s="37">
        <f ca="1">(RANDBETWEEN($E$14,$F$14)*$I$9)+$I$10+$I$18</f>
        <v>-189819.59895313275</v>
      </c>
      <c r="J493" s="37">
        <f ca="1">(RANDBETWEEN($E$14,$F$14)*$J$9)+$J$10+$J$18</f>
        <v>221933.48456383706</v>
      </c>
      <c r="K493" s="37">
        <f ca="1">(RANDBETWEEN($E$14,$F$14)*$K$9)+$K$10+$K$18</f>
        <v>24363.532183028292</v>
      </c>
      <c r="L493" s="37">
        <f ca="1">(RANDBETWEEN($E$14,$F$14)*$L$9)+$L$10+$L$18</f>
        <v>671221.40421803342</v>
      </c>
      <c r="M493" s="37">
        <f ca="1">(RANDBETWEEN($E$14,$F$14)*$M$9)+$M$10+$M$18</f>
        <v>1424944.0925515993</v>
      </c>
      <c r="N493" s="37">
        <f t="shared" ref="N493" ca="1" si="457">NPV($E$23+$F$23,H493:M493)+$H$4</f>
        <v>1396631.7810569336</v>
      </c>
    </row>
    <row r="494" spans="4:14" x14ac:dyDescent="0.25">
      <c r="D494" s="33"/>
      <c r="E494" s="33">
        <v>464</v>
      </c>
      <c r="F494" s="37"/>
      <c r="G494" s="37"/>
      <c r="H494" s="37">
        <f t="shared" si="249"/>
        <v>868800</v>
      </c>
      <c r="I494" s="37">
        <f ca="1">(RANDBETWEEN($E$14,$F$14)*$I$9)+$I$10+$I$18</f>
        <v>-369472.96408399101</v>
      </c>
      <c r="J494" s="37">
        <f ca="1">(RANDBETWEEN($E$14,$F$14)*$J$9)+$J$10+$J$18</f>
        <v>221933.48456383706</v>
      </c>
      <c r="K494" s="37">
        <f ca="1">(RANDBETWEEN($E$14,$F$14)*$K$9)+$K$10+$K$18</f>
        <v>24363.532183028292</v>
      </c>
      <c r="L494" s="37">
        <f ca="1">(RANDBETWEEN($E$14,$F$14)*$L$9)+$L$10+$L$18</f>
        <v>999716.39339203853</v>
      </c>
      <c r="M494" s="37">
        <f ca="1">(RANDBETWEEN($E$14,$F$14)*$M$9)+$M$10+$M$18</f>
        <v>1043245.7659826493</v>
      </c>
      <c r="N494" s="37">
        <f t="shared" ref="N494" ca="1" si="458">NPV($E$23+$F$23,H494:M494)+$H$4</f>
        <v>1206236.1343944785</v>
      </c>
    </row>
    <row r="495" spans="4:14" x14ac:dyDescent="0.25">
      <c r="D495" s="33"/>
      <c r="E495" s="33">
        <v>465</v>
      </c>
      <c r="F495" s="37"/>
      <c r="G495" s="37"/>
      <c r="H495" s="37">
        <f t="shared" si="249"/>
        <v>868800</v>
      </c>
      <c r="I495" s="37">
        <f ca="1">(RANDBETWEEN($E$14,$F$14)*$I$9)+$I$10+$I$18</f>
        <v>-369472.96408399101</v>
      </c>
      <c r="J495" s="37">
        <f ca="1">(RANDBETWEEN($E$14,$F$14)*$J$9)+$J$10+$J$18</f>
        <v>-9238.8910066427197</v>
      </c>
      <c r="K495" s="37">
        <f ca="1">(RANDBETWEEN($E$14,$F$14)*$K$9)+$K$10+$K$18</f>
        <v>24363.532183028292</v>
      </c>
      <c r="L495" s="37">
        <f ca="1">(RANDBETWEEN($E$14,$F$14)*$L$9)+$L$10+$L$18</f>
        <v>671221.40421803342</v>
      </c>
      <c r="M495" s="37">
        <f ca="1">(RANDBETWEEN($E$14,$F$14)*$M$9)+$M$10+$M$18</f>
        <v>1424944.0925515993</v>
      </c>
      <c r="N495" s="37">
        <f t="shared" ref="N495" ca="1" si="459">NPV($E$23+$F$23,H495:M495)+$H$4</f>
        <v>1033985.4932194382</v>
      </c>
    </row>
    <row r="496" spans="4:14" x14ac:dyDescent="0.25">
      <c r="D496" s="33"/>
      <c r="E496" s="33">
        <v>466</v>
      </c>
      <c r="F496" s="37"/>
      <c r="G496" s="37"/>
      <c r="H496" s="37">
        <f t="shared" si="249"/>
        <v>868800</v>
      </c>
      <c r="I496" s="37">
        <f ca="1">(RANDBETWEEN($E$14,$F$14)*$I$9)+$I$10+$I$18</f>
        <v>-369472.96408399101</v>
      </c>
      <c r="J496" s="37">
        <f ca="1">(RANDBETWEEN($E$14,$F$14)*$J$9)+$J$10+$J$18</f>
        <v>-9238.8910066427197</v>
      </c>
      <c r="K496" s="37">
        <f ca="1">(RANDBETWEEN($E$14,$F$14)*$K$9)+$K$10+$K$18</f>
        <v>24363.532183028292</v>
      </c>
      <c r="L496" s="37">
        <f ca="1">(RANDBETWEEN($E$14,$F$14)*$L$9)+$L$10+$L$18</f>
        <v>999716.39339203853</v>
      </c>
      <c r="M496" s="37">
        <f ca="1">(RANDBETWEEN($E$14,$F$14)*$M$9)+$M$10+$M$18</f>
        <v>1043245.7659826493</v>
      </c>
      <c r="N496" s="37">
        <f t="shared" ref="N496" ca="1" si="460">NPV($E$23+$F$23,H496:M496)+$H$4</f>
        <v>1006540.7446348586</v>
      </c>
    </row>
    <row r="497" spans="4:14" x14ac:dyDescent="0.25">
      <c r="D497" s="33"/>
      <c r="E497" s="33">
        <v>467</v>
      </c>
      <c r="F497" s="37"/>
      <c r="G497" s="37"/>
      <c r="H497" s="37">
        <f t="shared" si="249"/>
        <v>868800</v>
      </c>
      <c r="I497" s="37">
        <f ca="1">(RANDBETWEEN($E$14,$F$14)*$I$9)+$I$10+$I$18</f>
        <v>-369472.96408399101</v>
      </c>
      <c r="J497" s="37">
        <f ca="1">(RANDBETWEEN($E$14,$F$14)*$J$9)+$J$10+$J$18</f>
        <v>221933.48456383706</v>
      </c>
      <c r="K497" s="37">
        <f ca="1">(RANDBETWEEN($E$14,$F$14)*$K$9)+$K$10+$K$18</f>
        <v>260393.25392346107</v>
      </c>
      <c r="L497" s="37">
        <f ca="1">(RANDBETWEEN($E$14,$F$14)*$L$9)+$L$10+$L$18</f>
        <v>999716.39339203853</v>
      </c>
      <c r="M497" s="37">
        <f ca="1">(RANDBETWEEN($E$14,$F$14)*$M$9)+$M$10+$M$18</f>
        <v>1424944.0925515993</v>
      </c>
      <c r="N497" s="37">
        <f t="shared" ref="N497" ca="1" si="461">NPV($E$23+$F$23,H497:M497)+$H$4</f>
        <v>1685247.5387509572</v>
      </c>
    </row>
    <row r="498" spans="4:14" x14ac:dyDescent="0.25">
      <c r="D498" s="33"/>
      <c r="E498" s="33">
        <v>468</v>
      </c>
      <c r="F498" s="37"/>
      <c r="G498" s="37"/>
      <c r="H498" s="37">
        <f t="shared" si="249"/>
        <v>868800</v>
      </c>
      <c r="I498" s="37">
        <f ca="1">(RANDBETWEEN($E$14,$F$14)*$I$9)+$I$10+$I$18</f>
        <v>-189819.59895313275</v>
      </c>
      <c r="J498" s="37">
        <f ca="1">(RANDBETWEEN($E$14,$F$14)*$J$9)+$J$10+$J$18</f>
        <v>-9238.8910066427197</v>
      </c>
      <c r="K498" s="37">
        <f ca="1">(RANDBETWEEN($E$14,$F$14)*$K$9)+$K$10+$K$18</f>
        <v>260393.25392346107</v>
      </c>
      <c r="L498" s="37">
        <f ca="1">(RANDBETWEEN($E$14,$F$14)*$L$9)+$L$10+$L$18</f>
        <v>999716.39339203853</v>
      </c>
      <c r="M498" s="37">
        <f ca="1">(RANDBETWEEN($E$14,$F$14)*$M$9)+$M$10+$M$18</f>
        <v>1043245.7659826493</v>
      </c>
      <c r="N498" s="37">
        <f t="shared" ref="N498" ca="1" si="462">NPV($E$23+$F$23,H498:M498)+$H$4</f>
        <v>1363673.8789130282</v>
      </c>
    </row>
    <row r="499" spans="4:14" x14ac:dyDescent="0.25">
      <c r="D499" s="33"/>
      <c r="E499" s="33">
        <v>469</v>
      </c>
      <c r="F499" s="37"/>
      <c r="G499" s="37"/>
      <c r="H499" s="37">
        <f t="shared" si="249"/>
        <v>868800</v>
      </c>
      <c r="I499" s="37">
        <f ca="1">(RANDBETWEEN($E$14,$F$14)*$I$9)+$I$10+$I$18</f>
        <v>-369472.96408399101</v>
      </c>
      <c r="J499" s="37">
        <f ca="1">(RANDBETWEEN($E$14,$F$14)*$J$9)+$J$10+$J$18</f>
        <v>-9238.8910066427197</v>
      </c>
      <c r="K499" s="37">
        <f ca="1">(RANDBETWEEN($E$14,$F$14)*$K$9)+$K$10+$K$18</f>
        <v>24363.532183028292</v>
      </c>
      <c r="L499" s="37">
        <f ca="1">(RANDBETWEEN($E$14,$F$14)*$L$9)+$L$10+$L$18</f>
        <v>671221.40421803342</v>
      </c>
      <c r="M499" s="37">
        <f ca="1">(RANDBETWEEN($E$14,$F$14)*$M$9)+$M$10+$M$18</f>
        <v>1043245.7659826493</v>
      </c>
      <c r="N499" s="37">
        <f t="shared" ref="N499" ca="1" si="463">NPV($E$23+$F$23,H499:M499)+$H$4</f>
        <v>749156.32506325236</v>
      </c>
    </row>
    <row r="500" spans="4:14" x14ac:dyDescent="0.25">
      <c r="D500" s="33"/>
      <c r="E500" s="33">
        <v>470</v>
      </c>
      <c r="F500" s="37"/>
      <c r="G500" s="37"/>
      <c r="H500" s="37">
        <f t="shared" si="249"/>
        <v>868800</v>
      </c>
      <c r="I500" s="37">
        <f ca="1">(RANDBETWEEN($E$14,$F$14)*$I$9)+$I$10+$I$18</f>
        <v>-369472.96408399101</v>
      </c>
      <c r="J500" s="37">
        <f ca="1">(RANDBETWEEN($E$14,$F$14)*$J$9)+$J$10+$J$18</f>
        <v>-9238.8910066427197</v>
      </c>
      <c r="K500" s="37">
        <f ca="1">(RANDBETWEEN($E$14,$F$14)*$K$9)+$K$10+$K$18</f>
        <v>260393.25392346107</v>
      </c>
      <c r="L500" s="37">
        <f ca="1">(RANDBETWEEN($E$14,$F$14)*$L$9)+$L$10+$L$18</f>
        <v>999716.39339203853</v>
      </c>
      <c r="M500" s="37">
        <f ca="1">(RANDBETWEEN($E$14,$F$14)*$M$9)+$M$10+$M$18</f>
        <v>1043245.7659826493</v>
      </c>
      <c r="N500" s="37">
        <f t="shared" ref="N500" ca="1" si="464">NPV($E$23+$F$23,H500:M500)+$H$4</f>
        <v>1200722.9808351514</v>
      </c>
    </row>
    <row r="501" spans="4:14" x14ac:dyDescent="0.25">
      <c r="D501" s="33"/>
      <c r="E501" s="33">
        <v>471</v>
      </c>
      <c r="F501" s="37"/>
      <c r="G501" s="37"/>
      <c r="H501" s="37">
        <f t="shared" si="249"/>
        <v>868800</v>
      </c>
      <c r="I501" s="37">
        <f ca="1">(RANDBETWEEN($E$14,$F$14)*$I$9)+$I$10+$I$18</f>
        <v>-189819.59895313275</v>
      </c>
      <c r="J501" s="37">
        <f ca="1">(RANDBETWEEN($E$14,$F$14)*$J$9)+$J$10+$J$18</f>
        <v>-9238.8910066427197</v>
      </c>
      <c r="K501" s="37">
        <f ca="1">(RANDBETWEEN($E$14,$F$14)*$K$9)+$K$10+$K$18</f>
        <v>24363.532183028292</v>
      </c>
      <c r="L501" s="37">
        <f ca="1">(RANDBETWEEN($E$14,$F$14)*$L$9)+$L$10+$L$18</f>
        <v>999716.39339203853</v>
      </c>
      <c r="M501" s="37">
        <f ca="1">(RANDBETWEEN($E$14,$F$14)*$M$9)+$M$10+$M$18</f>
        <v>1424944.0925515993</v>
      </c>
      <c r="N501" s="37">
        <f t="shared" ref="N501" ca="1" si="465">NPV($E$23+$F$23,H501:M501)+$H$4</f>
        <v>1454320.8108689203</v>
      </c>
    </row>
    <row r="502" spans="4:14" x14ac:dyDescent="0.25">
      <c r="D502" s="33"/>
      <c r="E502" s="33">
        <v>472</v>
      </c>
      <c r="F502" s="37"/>
      <c r="G502" s="37"/>
      <c r="H502" s="37">
        <f t="shared" si="249"/>
        <v>868800</v>
      </c>
      <c r="I502" s="37">
        <f ca="1">(RANDBETWEEN($E$14,$F$14)*$I$9)+$I$10+$I$18</f>
        <v>-369472.96408399101</v>
      </c>
      <c r="J502" s="37">
        <f ca="1">(RANDBETWEEN($E$14,$F$14)*$J$9)+$J$10+$J$18</f>
        <v>-9238.8910066427197</v>
      </c>
      <c r="K502" s="37">
        <f ca="1">(RANDBETWEEN($E$14,$F$14)*$K$9)+$K$10+$K$18</f>
        <v>260393.25392346107</v>
      </c>
      <c r="L502" s="37">
        <f ca="1">(RANDBETWEEN($E$14,$F$14)*$L$9)+$L$10+$L$18</f>
        <v>671221.40421803342</v>
      </c>
      <c r="M502" s="37">
        <f ca="1">(RANDBETWEEN($E$14,$F$14)*$M$9)+$M$10+$M$18</f>
        <v>1424944.0925515993</v>
      </c>
      <c r="N502" s="37">
        <f t="shared" ref="N502" ca="1" si="466">NPV($E$23+$F$23,H502:M502)+$H$4</f>
        <v>1228167.7294197315</v>
      </c>
    </row>
    <row r="503" spans="4:14" x14ac:dyDescent="0.25">
      <c r="D503" s="33"/>
      <c r="E503" s="33">
        <v>473</v>
      </c>
      <c r="F503" s="37"/>
      <c r="G503" s="37"/>
      <c r="H503" s="37">
        <f t="shared" si="249"/>
        <v>868800</v>
      </c>
      <c r="I503" s="37">
        <f ca="1">(RANDBETWEEN($E$14,$F$14)*$I$9)+$I$10+$I$18</f>
        <v>-189819.59895313275</v>
      </c>
      <c r="J503" s="37">
        <f ca="1">(RANDBETWEEN($E$14,$F$14)*$J$9)+$J$10+$J$18</f>
        <v>221933.48456383706</v>
      </c>
      <c r="K503" s="37">
        <f ca="1">(RANDBETWEEN($E$14,$F$14)*$K$9)+$K$10+$K$18</f>
        <v>260393.25392346107</v>
      </c>
      <c r="L503" s="37">
        <f ca="1">(RANDBETWEEN($E$14,$F$14)*$L$9)+$L$10+$L$18</f>
        <v>999716.39339203853</v>
      </c>
      <c r="M503" s="37">
        <f ca="1">(RANDBETWEEN($E$14,$F$14)*$M$9)+$M$10+$M$18</f>
        <v>1424944.0925515993</v>
      </c>
      <c r="N503" s="37">
        <f t="shared" ref="N503" ca="1" si="467">NPV($E$23+$F$23,H503:M503)+$H$4</f>
        <v>1848198.4368288331</v>
      </c>
    </row>
    <row r="504" spans="4:14" x14ac:dyDescent="0.25">
      <c r="D504" s="33"/>
      <c r="E504" s="33">
        <v>474</v>
      </c>
      <c r="F504" s="37"/>
      <c r="G504" s="37"/>
      <c r="H504" s="37">
        <f t="shared" si="249"/>
        <v>868800</v>
      </c>
      <c r="I504" s="37">
        <f ca="1">(RANDBETWEEN($E$14,$F$14)*$I$9)+$I$10+$I$18</f>
        <v>-369472.96408399101</v>
      </c>
      <c r="J504" s="37">
        <f ca="1">(RANDBETWEEN($E$14,$F$14)*$J$9)+$J$10+$J$18</f>
        <v>221933.48456383706</v>
      </c>
      <c r="K504" s="37">
        <f ca="1">(RANDBETWEEN($E$14,$F$14)*$K$9)+$K$10+$K$18</f>
        <v>24363.532183028292</v>
      </c>
      <c r="L504" s="37">
        <f ca="1">(RANDBETWEEN($E$14,$F$14)*$L$9)+$L$10+$L$18</f>
        <v>999716.39339203853</v>
      </c>
      <c r="M504" s="37">
        <f ca="1">(RANDBETWEEN($E$14,$F$14)*$M$9)+$M$10+$M$18</f>
        <v>1043245.7659826493</v>
      </c>
      <c r="N504" s="37">
        <f t="shared" ref="N504" ca="1" si="468">NPV($E$23+$F$23,H504:M504)+$H$4</f>
        <v>1206236.1343944785</v>
      </c>
    </row>
    <row r="505" spans="4:14" x14ac:dyDescent="0.25">
      <c r="D505" s="33"/>
      <c r="E505" s="33">
        <v>475</v>
      </c>
      <c r="F505" s="37"/>
      <c r="G505" s="37"/>
      <c r="H505" s="37">
        <f t="shared" si="249"/>
        <v>868800</v>
      </c>
      <c r="I505" s="37">
        <f ca="1">(RANDBETWEEN($E$14,$F$14)*$I$9)+$I$10+$I$18</f>
        <v>-189819.59895313275</v>
      </c>
      <c r="J505" s="37">
        <f ca="1">(RANDBETWEEN($E$14,$F$14)*$J$9)+$J$10+$J$18</f>
        <v>221933.48456383706</v>
      </c>
      <c r="K505" s="37">
        <f ca="1">(RANDBETWEEN($E$14,$F$14)*$K$9)+$K$10+$K$18</f>
        <v>260393.25392346107</v>
      </c>
      <c r="L505" s="37">
        <f ca="1">(RANDBETWEEN($E$14,$F$14)*$L$9)+$L$10+$L$18</f>
        <v>671221.40421803342</v>
      </c>
      <c r="M505" s="37">
        <f ca="1">(RANDBETWEEN($E$14,$F$14)*$M$9)+$M$10+$M$18</f>
        <v>1424944.0925515993</v>
      </c>
      <c r="N505" s="37">
        <f t="shared" ref="N505" ca="1" si="469">NPV($E$23+$F$23,H505:M505)+$H$4</f>
        <v>1590814.0172572271</v>
      </c>
    </row>
    <row r="506" spans="4:14" x14ac:dyDescent="0.25">
      <c r="D506" s="33"/>
      <c r="E506" s="33">
        <v>476</v>
      </c>
      <c r="F506" s="37"/>
      <c r="G506" s="37"/>
      <c r="H506" s="37">
        <f t="shared" si="249"/>
        <v>868800</v>
      </c>
      <c r="I506" s="37">
        <f ca="1">(RANDBETWEEN($E$14,$F$14)*$I$9)+$I$10+$I$18</f>
        <v>-369472.96408399101</v>
      </c>
      <c r="J506" s="37">
        <f ca="1">(RANDBETWEEN($E$14,$F$14)*$J$9)+$J$10+$J$18</f>
        <v>-9238.8910066427197</v>
      </c>
      <c r="K506" s="37">
        <f ca="1">(RANDBETWEEN($E$14,$F$14)*$K$9)+$K$10+$K$18</f>
        <v>260393.25392346107</v>
      </c>
      <c r="L506" s="37">
        <f ca="1">(RANDBETWEEN($E$14,$F$14)*$L$9)+$L$10+$L$18</f>
        <v>671221.40421803342</v>
      </c>
      <c r="M506" s="37">
        <f ca="1">(RANDBETWEEN($E$14,$F$14)*$M$9)+$M$10+$M$18</f>
        <v>1043245.7659826493</v>
      </c>
      <c r="N506" s="37">
        <f t="shared" ref="N506" ca="1" si="470">NPV($E$23+$F$23,H506:M506)+$H$4</f>
        <v>943338.56126354542</v>
      </c>
    </row>
    <row r="507" spans="4:14" x14ac:dyDescent="0.25">
      <c r="D507" s="33"/>
      <c r="E507" s="33">
        <v>477</v>
      </c>
      <c r="F507" s="37"/>
      <c r="G507" s="37"/>
      <c r="H507" s="37">
        <f t="shared" si="249"/>
        <v>868800</v>
      </c>
      <c r="I507" s="37">
        <f ca="1">(RANDBETWEEN($E$14,$F$14)*$I$9)+$I$10+$I$18</f>
        <v>-189819.59895313275</v>
      </c>
      <c r="J507" s="37">
        <f ca="1">(RANDBETWEEN($E$14,$F$14)*$J$9)+$J$10+$J$18</f>
        <v>-9238.8910066427197</v>
      </c>
      <c r="K507" s="37">
        <f ca="1">(RANDBETWEEN($E$14,$F$14)*$K$9)+$K$10+$K$18</f>
        <v>260393.25392346107</v>
      </c>
      <c r="L507" s="37">
        <f ca="1">(RANDBETWEEN($E$14,$F$14)*$L$9)+$L$10+$L$18</f>
        <v>999716.39339203853</v>
      </c>
      <c r="M507" s="37">
        <f ca="1">(RANDBETWEEN($E$14,$F$14)*$M$9)+$M$10+$M$18</f>
        <v>1043245.7659826493</v>
      </c>
      <c r="N507" s="37">
        <f t="shared" ref="N507" ca="1" si="471">NPV($E$23+$F$23,H507:M507)+$H$4</f>
        <v>1363673.8789130282</v>
      </c>
    </row>
    <row r="508" spans="4:14" x14ac:dyDescent="0.25">
      <c r="D508" s="33"/>
      <c r="E508" s="33">
        <v>478</v>
      </c>
      <c r="F508" s="37"/>
      <c r="G508" s="37"/>
      <c r="H508" s="37">
        <f t="shared" si="249"/>
        <v>868800</v>
      </c>
      <c r="I508" s="37">
        <f ca="1">(RANDBETWEEN($E$14,$F$14)*$I$9)+$I$10+$I$18</f>
        <v>-369472.96408399101</v>
      </c>
      <c r="J508" s="37">
        <f ca="1">(RANDBETWEEN($E$14,$F$14)*$J$9)+$J$10+$J$18</f>
        <v>-9238.8910066427197</v>
      </c>
      <c r="K508" s="37">
        <f ca="1">(RANDBETWEEN($E$14,$F$14)*$K$9)+$K$10+$K$18</f>
        <v>24363.532183028292</v>
      </c>
      <c r="L508" s="37">
        <f ca="1">(RANDBETWEEN($E$14,$F$14)*$L$9)+$L$10+$L$18</f>
        <v>671221.40421803342</v>
      </c>
      <c r="M508" s="37">
        <f ca="1">(RANDBETWEEN($E$14,$F$14)*$M$9)+$M$10+$M$18</f>
        <v>1424944.0925515993</v>
      </c>
      <c r="N508" s="37">
        <f t="shared" ref="N508" ca="1" si="472">NPV($E$23+$F$23,H508:M508)+$H$4</f>
        <v>1033985.4932194382</v>
      </c>
    </row>
    <row r="509" spans="4:14" x14ac:dyDescent="0.25">
      <c r="D509" s="33"/>
      <c r="E509" s="33">
        <v>479</v>
      </c>
      <c r="F509" s="37"/>
      <c r="G509" s="37"/>
      <c r="H509" s="37">
        <f t="shared" si="249"/>
        <v>868800</v>
      </c>
      <c r="I509" s="37">
        <f ca="1">(RANDBETWEEN($E$14,$F$14)*$I$9)+$I$10+$I$18</f>
        <v>-189819.59895313275</v>
      </c>
      <c r="J509" s="37">
        <f ca="1">(RANDBETWEEN($E$14,$F$14)*$J$9)+$J$10+$J$18</f>
        <v>-9238.8910066427197</v>
      </c>
      <c r="K509" s="37">
        <f ca="1">(RANDBETWEEN($E$14,$F$14)*$K$9)+$K$10+$K$18</f>
        <v>260393.25392346107</v>
      </c>
      <c r="L509" s="37">
        <f ca="1">(RANDBETWEEN($E$14,$F$14)*$L$9)+$L$10+$L$18</f>
        <v>671221.40421803342</v>
      </c>
      <c r="M509" s="37">
        <f ca="1">(RANDBETWEEN($E$14,$F$14)*$M$9)+$M$10+$M$18</f>
        <v>1043245.7659826493</v>
      </c>
      <c r="N509" s="37">
        <f t="shared" ref="N509" ca="1" si="473">NPV($E$23+$F$23,H509:M509)+$H$4</f>
        <v>1106289.4593414213</v>
      </c>
    </row>
    <row r="510" spans="4:14" x14ac:dyDescent="0.25">
      <c r="D510" s="33"/>
      <c r="E510" s="33">
        <v>480</v>
      </c>
      <c r="F510" s="37"/>
      <c r="G510" s="37"/>
      <c r="H510" s="37">
        <f t="shared" si="249"/>
        <v>868800</v>
      </c>
      <c r="I510" s="37">
        <f ca="1">(RANDBETWEEN($E$14,$F$14)*$I$9)+$I$10+$I$18</f>
        <v>-369472.96408399101</v>
      </c>
      <c r="J510" s="37">
        <f ca="1">(RANDBETWEEN($E$14,$F$14)*$J$9)+$J$10+$J$18</f>
        <v>221933.48456383706</v>
      </c>
      <c r="K510" s="37">
        <f ca="1">(RANDBETWEEN($E$14,$F$14)*$K$9)+$K$10+$K$18</f>
        <v>24363.532183028292</v>
      </c>
      <c r="L510" s="37">
        <f ca="1">(RANDBETWEEN($E$14,$F$14)*$L$9)+$L$10+$L$18</f>
        <v>671221.40421803342</v>
      </c>
      <c r="M510" s="37">
        <f ca="1">(RANDBETWEEN($E$14,$F$14)*$M$9)+$M$10+$M$18</f>
        <v>1043245.7659826493</v>
      </c>
      <c r="N510" s="37">
        <f t="shared" ref="N510" ca="1" si="474">NPV($E$23+$F$23,H510:M510)+$H$4</f>
        <v>948851.71482287208</v>
      </c>
    </row>
    <row r="511" spans="4:14" x14ac:dyDescent="0.25">
      <c r="D511" s="33"/>
      <c r="E511" s="33">
        <v>481</v>
      </c>
      <c r="F511" s="37"/>
      <c r="G511" s="37"/>
      <c r="H511" s="37">
        <f t="shared" si="249"/>
        <v>868800</v>
      </c>
      <c r="I511" s="37">
        <f ca="1">(RANDBETWEEN($E$14,$F$14)*$I$9)+$I$10+$I$18</f>
        <v>-189819.59895313275</v>
      </c>
      <c r="J511" s="37">
        <f ca="1">(RANDBETWEEN($E$14,$F$14)*$J$9)+$J$10+$J$18</f>
        <v>221933.48456383706</v>
      </c>
      <c r="K511" s="37">
        <f ca="1">(RANDBETWEEN($E$14,$F$14)*$K$9)+$K$10+$K$18</f>
        <v>260393.25392346107</v>
      </c>
      <c r="L511" s="37">
        <f ca="1">(RANDBETWEEN($E$14,$F$14)*$L$9)+$L$10+$L$18</f>
        <v>671221.40421803342</v>
      </c>
      <c r="M511" s="37">
        <f ca="1">(RANDBETWEEN($E$14,$F$14)*$M$9)+$M$10+$M$18</f>
        <v>1424944.0925515993</v>
      </c>
      <c r="N511" s="37">
        <f t="shared" ref="N511" ca="1" si="475">NPV($E$23+$F$23,H511:M511)+$H$4</f>
        <v>1590814.0172572271</v>
      </c>
    </row>
    <row r="512" spans="4:14" x14ac:dyDescent="0.25">
      <c r="D512" s="33"/>
      <c r="E512" s="33">
        <v>482</v>
      </c>
      <c r="F512" s="37"/>
      <c r="G512" s="37"/>
      <c r="H512" s="37">
        <f t="shared" si="249"/>
        <v>868800</v>
      </c>
      <c r="I512" s="37">
        <f ca="1">(RANDBETWEEN($E$14,$F$14)*$I$9)+$I$10+$I$18</f>
        <v>-189819.59895313275</v>
      </c>
      <c r="J512" s="37">
        <f ca="1">(RANDBETWEEN($E$14,$F$14)*$J$9)+$J$10+$J$18</f>
        <v>-9238.8910066427197</v>
      </c>
      <c r="K512" s="37">
        <f ca="1">(RANDBETWEEN($E$14,$F$14)*$K$9)+$K$10+$K$18</f>
        <v>260393.25392346107</v>
      </c>
      <c r="L512" s="37">
        <f ca="1">(RANDBETWEEN($E$14,$F$14)*$L$9)+$L$10+$L$18</f>
        <v>671221.40421803342</v>
      </c>
      <c r="M512" s="37">
        <f ca="1">(RANDBETWEEN($E$14,$F$14)*$M$9)+$M$10+$M$18</f>
        <v>1043245.7659826493</v>
      </c>
      <c r="N512" s="37">
        <f t="shared" ref="N512" ca="1" si="476">NPV($E$23+$F$23,H512:M512)+$H$4</f>
        <v>1106289.4593414213</v>
      </c>
    </row>
    <row r="513" spans="4:17" x14ac:dyDescent="0.25">
      <c r="D513" s="33"/>
      <c r="E513" s="33">
        <v>483</v>
      </c>
      <c r="F513" s="37"/>
      <c r="G513" s="37"/>
      <c r="H513" s="37">
        <f t="shared" si="249"/>
        <v>868800</v>
      </c>
      <c r="I513" s="37">
        <f ca="1">(RANDBETWEEN($E$14,$F$14)*$I$9)+$I$10+$I$18</f>
        <v>-189819.59895313275</v>
      </c>
      <c r="J513" s="37">
        <f ca="1">(RANDBETWEEN($E$14,$F$14)*$J$9)+$J$10+$J$18</f>
        <v>-9238.8910066427197</v>
      </c>
      <c r="K513" s="37">
        <f ca="1">(RANDBETWEEN($E$14,$F$14)*$K$9)+$K$10+$K$18</f>
        <v>24363.532183028292</v>
      </c>
      <c r="L513" s="37">
        <f ca="1">(RANDBETWEEN($E$14,$F$14)*$L$9)+$L$10+$L$18</f>
        <v>999716.39339203853</v>
      </c>
      <c r="M513" s="37">
        <f ca="1">(RANDBETWEEN($E$14,$F$14)*$M$9)+$M$10+$M$18</f>
        <v>1043245.7659826493</v>
      </c>
      <c r="N513" s="37">
        <f t="shared" ref="N513" ca="1" si="477">NPV($E$23+$F$23,H513:M513)+$H$4</f>
        <v>1169491.6427127346</v>
      </c>
    </row>
    <row r="514" spans="4:17" x14ac:dyDescent="0.25">
      <c r="D514" s="33"/>
      <c r="E514" s="33">
        <v>484</v>
      </c>
      <c r="F514" s="37"/>
      <c r="G514" s="37"/>
      <c r="H514" s="37">
        <f t="shared" si="249"/>
        <v>868800</v>
      </c>
      <c r="I514" s="37">
        <f ca="1">(RANDBETWEEN($E$14,$F$14)*$I$9)+$I$10+$I$18</f>
        <v>-369472.96408399101</v>
      </c>
      <c r="J514" s="37">
        <f ca="1">(RANDBETWEEN($E$14,$F$14)*$J$9)+$J$10+$J$18</f>
        <v>-9238.8910066427197</v>
      </c>
      <c r="K514" s="37">
        <f ca="1">(RANDBETWEEN($E$14,$F$14)*$K$9)+$K$10+$K$18</f>
        <v>260393.25392346107</v>
      </c>
      <c r="L514" s="37">
        <f ca="1">(RANDBETWEEN($E$14,$F$14)*$L$9)+$L$10+$L$18</f>
        <v>999716.39339203853</v>
      </c>
      <c r="M514" s="37">
        <f ca="1">(RANDBETWEEN($E$14,$F$14)*$M$9)+$M$10+$M$18</f>
        <v>1043245.7659826493</v>
      </c>
      <c r="N514" s="37">
        <f t="shared" ref="N514" ca="1" si="478">NPV($E$23+$F$23,H514:M514)+$H$4</f>
        <v>1200722.9808351514</v>
      </c>
    </row>
    <row r="515" spans="4:17" x14ac:dyDescent="0.25">
      <c r="D515" s="33"/>
      <c r="E515" s="33">
        <v>485</v>
      </c>
      <c r="F515" s="37"/>
      <c r="G515" s="37"/>
      <c r="H515" s="37">
        <f t="shared" si="249"/>
        <v>868800</v>
      </c>
      <c r="I515" s="37">
        <f ca="1">(RANDBETWEEN($E$14,$F$14)*$I$9)+$I$10+$I$18</f>
        <v>-189819.59895313275</v>
      </c>
      <c r="J515" s="37">
        <f ca="1">(RANDBETWEEN($E$14,$F$14)*$J$9)+$J$10+$J$18</f>
        <v>-9238.8910066427197</v>
      </c>
      <c r="K515" s="37">
        <f ca="1">(RANDBETWEEN($E$14,$F$14)*$K$9)+$K$10+$K$18</f>
        <v>260393.25392346107</v>
      </c>
      <c r="L515" s="37">
        <f ca="1">(RANDBETWEEN($E$14,$F$14)*$L$9)+$L$10+$L$18</f>
        <v>999716.39339203853</v>
      </c>
      <c r="M515" s="37">
        <f ca="1">(RANDBETWEEN($E$14,$F$14)*$M$9)+$M$10+$M$18</f>
        <v>1043245.7659826493</v>
      </c>
      <c r="N515" s="37">
        <f t="shared" ref="N515" ca="1" si="479">NPV($E$23+$F$23,H515:M515)+$H$4</f>
        <v>1363673.8789130282</v>
      </c>
    </row>
    <row r="516" spans="4:17" x14ac:dyDescent="0.25">
      <c r="D516" s="33"/>
      <c r="E516" s="33">
        <v>486</v>
      </c>
      <c r="F516" s="37"/>
      <c r="G516" s="37"/>
      <c r="H516" s="37">
        <f t="shared" si="249"/>
        <v>868800</v>
      </c>
      <c r="I516" s="37">
        <f ca="1">(RANDBETWEEN($E$14,$F$14)*$I$9)+$I$10+$I$18</f>
        <v>-189819.59895313275</v>
      </c>
      <c r="J516" s="37">
        <f ca="1">(RANDBETWEEN($E$14,$F$14)*$J$9)+$J$10+$J$18</f>
        <v>221933.48456383706</v>
      </c>
      <c r="K516" s="37">
        <f ca="1">(RANDBETWEEN($E$14,$F$14)*$K$9)+$K$10+$K$18</f>
        <v>24363.532183028292</v>
      </c>
      <c r="L516" s="37">
        <f ca="1">(RANDBETWEEN($E$14,$F$14)*$L$9)+$L$10+$L$18</f>
        <v>671221.40421803342</v>
      </c>
      <c r="M516" s="37">
        <f ca="1">(RANDBETWEEN($E$14,$F$14)*$M$9)+$M$10+$M$18</f>
        <v>1424944.0925515993</v>
      </c>
      <c r="N516" s="37">
        <f t="shared" ref="N516" ca="1" si="480">NPV($E$23+$F$23,H516:M516)+$H$4</f>
        <v>1396631.7810569336</v>
      </c>
    </row>
    <row r="517" spans="4:17" x14ac:dyDescent="0.25">
      <c r="D517" s="33"/>
      <c r="E517" s="33">
        <v>487</v>
      </c>
      <c r="F517" s="37"/>
      <c r="G517" s="37"/>
      <c r="H517" s="37">
        <f t="shared" si="249"/>
        <v>868800</v>
      </c>
      <c r="I517" s="37">
        <f ca="1">(RANDBETWEEN($E$14,$F$14)*$I$9)+$I$10+$I$18</f>
        <v>-189819.59895313275</v>
      </c>
      <c r="J517" s="37">
        <f ca="1">(RANDBETWEEN($E$14,$F$14)*$J$9)+$J$10+$J$18</f>
        <v>221933.48456383706</v>
      </c>
      <c r="K517" s="37">
        <f ca="1">(RANDBETWEEN($E$14,$F$14)*$K$9)+$K$10+$K$18</f>
        <v>24363.532183028292</v>
      </c>
      <c r="L517" s="37">
        <f ca="1">(RANDBETWEEN($E$14,$F$14)*$L$9)+$L$10+$L$18</f>
        <v>999716.39339203853</v>
      </c>
      <c r="M517" s="37">
        <f ca="1">(RANDBETWEEN($E$14,$F$14)*$M$9)+$M$10+$M$18</f>
        <v>1424944.0925515993</v>
      </c>
      <c r="N517" s="37">
        <f t="shared" ref="N517" ca="1" si="481">NPV($E$23+$F$23,H517:M517)+$H$4</f>
        <v>1654016.20062854</v>
      </c>
    </row>
    <row r="518" spans="4:17" x14ac:dyDescent="0.25">
      <c r="D518" s="33"/>
      <c r="E518" s="33">
        <v>488</v>
      </c>
      <c r="F518" s="37"/>
      <c r="G518" s="37"/>
      <c r="H518" s="37">
        <f t="shared" si="249"/>
        <v>868800</v>
      </c>
      <c r="I518" s="37">
        <f ca="1">(RANDBETWEEN($E$14,$F$14)*$I$9)+$I$10+$I$18</f>
        <v>-369472.96408399101</v>
      </c>
      <c r="J518" s="37">
        <f ca="1">(RANDBETWEEN($E$14,$F$14)*$J$9)+$J$10+$J$18</f>
        <v>-9238.8910066427197</v>
      </c>
      <c r="K518" s="37">
        <f ca="1">(RANDBETWEEN($E$14,$F$14)*$K$9)+$K$10+$K$18</f>
        <v>24363.532183028292</v>
      </c>
      <c r="L518" s="37">
        <f ca="1">(RANDBETWEEN($E$14,$F$14)*$L$9)+$L$10+$L$18</f>
        <v>999716.39339203853</v>
      </c>
      <c r="M518" s="37">
        <f ca="1">(RANDBETWEEN($E$14,$F$14)*$M$9)+$M$10+$M$18</f>
        <v>1424944.0925515993</v>
      </c>
      <c r="N518" s="37">
        <f t="shared" ref="N518" ca="1" si="482">NPV($E$23+$F$23,H518:M518)+$H$4</f>
        <v>1291369.9127910445</v>
      </c>
    </row>
    <row r="519" spans="4:17" x14ac:dyDescent="0.25">
      <c r="D519" s="33"/>
      <c r="E519" s="33">
        <v>489</v>
      </c>
      <c r="F519" s="37"/>
      <c r="G519" s="37"/>
      <c r="H519" s="37">
        <f t="shared" si="249"/>
        <v>868800</v>
      </c>
      <c r="I519" s="37">
        <f ca="1">(RANDBETWEEN($E$14,$F$14)*$I$9)+$I$10+$I$18</f>
        <v>-189819.59895313275</v>
      </c>
      <c r="J519" s="37">
        <f ca="1">(RANDBETWEEN($E$14,$F$14)*$J$9)+$J$10+$J$18</f>
        <v>-9238.8910066427197</v>
      </c>
      <c r="K519" s="37">
        <f ca="1">(RANDBETWEEN($E$14,$F$14)*$K$9)+$K$10+$K$18</f>
        <v>260393.25392346107</v>
      </c>
      <c r="L519" s="37">
        <f ca="1">(RANDBETWEEN($E$14,$F$14)*$L$9)+$L$10+$L$18</f>
        <v>999716.39339203853</v>
      </c>
      <c r="M519" s="37">
        <f ca="1">(RANDBETWEEN($E$14,$F$14)*$M$9)+$M$10+$M$18</f>
        <v>1424944.0925515993</v>
      </c>
      <c r="N519" s="37">
        <f t="shared" ref="N519" ca="1" si="483">NPV($E$23+$F$23,H519:M519)+$H$4</f>
        <v>1648503.0470692138</v>
      </c>
      <c r="Q519" s="37"/>
    </row>
    <row r="520" spans="4:17" x14ac:dyDescent="0.25">
      <c r="D520" s="33"/>
      <c r="E520" s="33">
        <v>490</v>
      </c>
      <c r="F520" s="37"/>
      <c r="G520" s="37"/>
      <c r="H520" s="37">
        <f t="shared" si="249"/>
        <v>868800</v>
      </c>
      <c r="I520" s="37">
        <f ca="1">(RANDBETWEEN($E$14,$F$14)*$I$9)+$I$10+$I$18</f>
        <v>-189819.59895313275</v>
      </c>
      <c r="J520" s="37">
        <f ca="1">(RANDBETWEEN($E$14,$F$14)*$J$9)+$J$10+$J$18</f>
        <v>-9238.8910066427197</v>
      </c>
      <c r="K520" s="37">
        <f ca="1">(RANDBETWEEN($E$14,$F$14)*$K$9)+$K$10+$K$18</f>
        <v>260393.25392346107</v>
      </c>
      <c r="L520" s="37">
        <f ca="1">(RANDBETWEEN($E$14,$F$14)*$L$9)+$L$10+$L$18</f>
        <v>671221.40421803342</v>
      </c>
      <c r="M520" s="37">
        <f ca="1">(RANDBETWEEN($E$14,$F$14)*$M$9)+$M$10+$M$18</f>
        <v>1424944.0925515993</v>
      </c>
      <c r="N520" s="37">
        <f t="shared" ref="N520" ca="1" si="484">NPV($E$23+$F$23,H520:M520)+$H$4</f>
        <v>1391118.6274976074</v>
      </c>
      <c r="Q520" s="37"/>
    </row>
    <row r="521" spans="4:17" x14ac:dyDescent="0.25">
      <c r="D521" s="33"/>
      <c r="E521" s="33">
        <v>491</v>
      </c>
      <c r="F521" s="37"/>
      <c r="G521" s="37"/>
      <c r="H521" s="37">
        <f t="shared" si="249"/>
        <v>868800</v>
      </c>
      <c r="I521" s="37">
        <f ca="1">(RANDBETWEEN($E$14,$F$14)*$I$9)+$I$10+$I$18</f>
        <v>-189819.59895313275</v>
      </c>
      <c r="J521" s="37">
        <f ca="1">(RANDBETWEEN($E$14,$F$14)*$J$9)+$J$10+$J$18</f>
        <v>-9238.8910066427197</v>
      </c>
      <c r="K521" s="37">
        <f ca="1">(RANDBETWEEN($E$14,$F$14)*$K$9)+$K$10+$K$18</f>
        <v>260393.25392346107</v>
      </c>
      <c r="L521" s="37">
        <f ca="1">(RANDBETWEEN($E$14,$F$14)*$L$9)+$L$10+$L$18</f>
        <v>999716.39339203853</v>
      </c>
      <c r="M521" s="37">
        <f ca="1">(RANDBETWEEN($E$14,$F$14)*$M$9)+$M$10+$M$18</f>
        <v>1424944.0925515993</v>
      </c>
      <c r="N521" s="37">
        <f t="shared" ref="N521" ca="1" si="485">NPV($E$23+$F$23,H521:M521)+$H$4</f>
        <v>1648503.0470692138</v>
      </c>
    </row>
    <row r="522" spans="4:17" x14ac:dyDescent="0.25">
      <c r="D522" s="33"/>
      <c r="E522" s="33">
        <v>492</v>
      </c>
      <c r="F522" s="37"/>
      <c r="G522" s="37"/>
      <c r="H522" s="37">
        <f t="shared" si="249"/>
        <v>868800</v>
      </c>
      <c r="I522" s="37">
        <f ca="1">(RANDBETWEEN($E$14,$F$14)*$I$9)+$I$10+$I$18</f>
        <v>-189819.59895313275</v>
      </c>
      <c r="J522" s="37">
        <f ca="1">(RANDBETWEEN($E$14,$F$14)*$J$9)+$J$10+$J$18</f>
        <v>221933.48456383706</v>
      </c>
      <c r="K522" s="37">
        <f ca="1">(RANDBETWEEN($E$14,$F$14)*$K$9)+$K$10+$K$18</f>
        <v>260393.25392346107</v>
      </c>
      <c r="L522" s="37">
        <f ca="1">(RANDBETWEEN($E$14,$F$14)*$L$9)+$L$10+$L$18</f>
        <v>671221.40421803342</v>
      </c>
      <c r="M522" s="37">
        <f ca="1">(RANDBETWEEN($E$14,$F$14)*$M$9)+$M$10+$M$18</f>
        <v>1043245.7659826493</v>
      </c>
      <c r="N522" s="37">
        <f t="shared" ref="N522" ca="1" si="486">NPV($E$23+$F$23,H522:M522)+$H$4</f>
        <v>1305984.8491010414</v>
      </c>
    </row>
    <row r="523" spans="4:17" x14ac:dyDescent="0.25">
      <c r="D523" s="33"/>
      <c r="E523" s="33">
        <v>493</v>
      </c>
      <c r="F523" s="37"/>
      <c r="G523" s="37"/>
      <c r="H523" s="37">
        <f t="shared" si="249"/>
        <v>868800</v>
      </c>
      <c r="I523" s="37">
        <f ca="1">(RANDBETWEEN($E$14,$F$14)*$I$9)+$I$10+$I$18</f>
        <v>-189819.59895313275</v>
      </c>
      <c r="J523" s="37">
        <f ca="1">(RANDBETWEEN($E$14,$F$14)*$J$9)+$J$10+$J$18</f>
        <v>221933.48456383706</v>
      </c>
      <c r="K523" s="37">
        <f ca="1">(RANDBETWEEN($E$14,$F$14)*$K$9)+$K$10+$K$18</f>
        <v>260393.25392346107</v>
      </c>
      <c r="L523" s="37">
        <f ca="1">(RANDBETWEEN($E$14,$F$14)*$L$9)+$L$10+$L$18</f>
        <v>999716.39339203853</v>
      </c>
      <c r="M523" s="37">
        <f ca="1">(RANDBETWEEN($E$14,$F$14)*$M$9)+$M$10+$M$18</f>
        <v>1043245.7659826493</v>
      </c>
      <c r="N523" s="37">
        <f t="shared" ref="N523" ca="1" si="487">NPV($E$23+$F$23,H523:M523)+$H$4</f>
        <v>1563369.2686726474</v>
      </c>
    </row>
    <row r="524" spans="4:17" x14ac:dyDescent="0.25">
      <c r="D524" s="33"/>
      <c r="E524" s="33">
        <v>494</v>
      </c>
      <c r="F524" s="37"/>
      <c r="G524" s="37"/>
      <c r="H524" s="37">
        <f t="shared" si="249"/>
        <v>868800</v>
      </c>
      <c r="I524" s="37">
        <f ca="1">(RANDBETWEEN($E$14,$F$14)*$I$9)+$I$10+$I$18</f>
        <v>-369472.96408399101</v>
      </c>
      <c r="J524" s="37">
        <f ca="1">(RANDBETWEEN($E$14,$F$14)*$J$9)+$J$10+$J$18</f>
        <v>221933.48456383706</v>
      </c>
      <c r="K524" s="37">
        <f ca="1">(RANDBETWEEN($E$14,$F$14)*$K$9)+$K$10+$K$18</f>
        <v>24363.532183028292</v>
      </c>
      <c r="L524" s="37">
        <f ca="1">(RANDBETWEEN($E$14,$F$14)*$L$9)+$L$10+$L$18</f>
        <v>999716.39339203853</v>
      </c>
      <c r="M524" s="37">
        <f ca="1">(RANDBETWEEN($E$14,$F$14)*$M$9)+$M$10+$M$18</f>
        <v>1043245.7659826493</v>
      </c>
      <c r="N524" s="37">
        <f t="shared" ref="N524" ca="1" si="488">NPV($E$23+$F$23,H524:M524)+$H$4</f>
        <v>1206236.1343944785</v>
      </c>
      <c r="Q524" s="37"/>
    </row>
    <row r="525" spans="4:17" x14ac:dyDescent="0.25">
      <c r="D525" s="33"/>
      <c r="E525" s="33">
        <v>495</v>
      </c>
      <c r="F525" s="37"/>
      <c r="G525" s="37"/>
      <c r="H525" s="37">
        <f t="shared" si="249"/>
        <v>868800</v>
      </c>
      <c r="I525" s="37">
        <f ca="1">(RANDBETWEEN($E$14,$F$14)*$I$9)+$I$10+$I$18</f>
        <v>-369472.96408399101</v>
      </c>
      <c r="J525" s="37">
        <f ca="1">(RANDBETWEEN($E$14,$F$14)*$J$9)+$J$10+$J$18</f>
        <v>221933.48456383706</v>
      </c>
      <c r="K525" s="37">
        <f ca="1">(RANDBETWEEN($E$14,$F$14)*$K$9)+$K$10+$K$18</f>
        <v>260393.25392346107</v>
      </c>
      <c r="L525" s="37">
        <f ca="1">(RANDBETWEEN($E$14,$F$14)*$L$9)+$L$10+$L$18</f>
        <v>999716.39339203853</v>
      </c>
      <c r="M525" s="37">
        <f ca="1">(RANDBETWEEN($E$14,$F$14)*$M$9)+$M$10+$M$18</f>
        <v>1043245.7659826493</v>
      </c>
      <c r="N525" s="37">
        <f t="shared" ref="N525" ca="1" si="489">NPV($E$23+$F$23,H525:M525)+$H$4</f>
        <v>1400418.3705947716</v>
      </c>
    </row>
    <row r="526" spans="4:17" x14ac:dyDescent="0.25">
      <c r="D526" s="33"/>
      <c r="E526" s="33">
        <v>496</v>
      </c>
      <c r="F526" s="37"/>
      <c r="G526" s="37"/>
      <c r="H526" s="37">
        <f t="shared" si="249"/>
        <v>868800</v>
      </c>
      <c r="I526" s="37">
        <f ca="1">(RANDBETWEEN($E$14,$F$14)*$I$9)+$I$10+$I$18</f>
        <v>-189819.59895313275</v>
      </c>
      <c r="J526" s="37">
        <f ca="1">(RANDBETWEEN($E$14,$F$14)*$J$9)+$J$10+$J$18</f>
        <v>221933.48456383706</v>
      </c>
      <c r="K526" s="37">
        <f ca="1">(RANDBETWEEN($E$14,$F$14)*$K$9)+$K$10+$K$18</f>
        <v>24363.532183028292</v>
      </c>
      <c r="L526" s="37">
        <f ca="1">(RANDBETWEEN($E$14,$F$14)*$L$9)+$L$10+$L$18</f>
        <v>999716.39339203853</v>
      </c>
      <c r="M526" s="37">
        <f ca="1">(RANDBETWEEN($E$14,$F$14)*$M$9)+$M$10+$M$18</f>
        <v>1424944.0925515993</v>
      </c>
      <c r="N526" s="37">
        <f t="shared" ref="N526" ca="1" si="490">NPV($E$23+$F$23,H526:M526)+$H$4</f>
        <v>1654016.20062854</v>
      </c>
    </row>
    <row r="527" spans="4:17" x14ac:dyDescent="0.25">
      <c r="D527" s="33"/>
      <c r="E527" s="33">
        <v>497</v>
      </c>
      <c r="F527" s="37"/>
      <c r="G527" s="37"/>
      <c r="H527" s="37">
        <f t="shared" si="249"/>
        <v>868800</v>
      </c>
      <c r="I527" s="37">
        <f ca="1">(RANDBETWEEN($E$14,$F$14)*$I$9)+$I$10+$I$18</f>
        <v>-369472.96408399101</v>
      </c>
      <c r="J527" s="37">
        <f ca="1">(RANDBETWEEN($E$14,$F$14)*$J$9)+$J$10+$J$18</f>
        <v>221933.48456383706</v>
      </c>
      <c r="K527" s="37">
        <f ca="1">(RANDBETWEEN($E$14,$F$14)*$K$9)+$K$10+$K$18</f>
        <v>260393.25392346107</v>
      </c>
      <c r="L527" s="37">
        <f ca="1">(RANDBETWEEN($E$14,$F$14)*$L$9)+$L$10+$L$18</f>
        <v>999716.39339203853</v>
      </c>
      <c r="M527" s="37">
        <f ca="1">(RANDBETWEEN($E$14,$F$14)*$M$9)+$M$10+$M$18</f>
        <v>1043245.7659826493</v>
      </c>
      <c r="N527" s="37">
        <f t="shared" ref="N527" ca="1" si="491">NPV($E$23+$F$23,H527:M527)+$H$4</f>
        <v>1400418.3705947716</v>
      </c>
    </row>
    <row r="528" spans="4:17" x14ac:dyDescent="0.25">
      <c r="D528" s="33"/>
      <c r="E528" s="33">
        <v>498</v>
      </c>
      <c r="F528" s="37"/>
      <c r="G528" s="37"/>
      <c r="H528" s="37">
        <f t="shared" si="249"/>
        <v>868800</v>
      </c>
      <c r="I528" s="37">
        <f ca="1">(RANDBETWEEN($E$14,$F$14)*$I$9)+$I$10+$I$18</f>
        <v>-369472.96408399101</v>
      </c>
      <c r="J528" s="37">
        <f ca="1">(RANDBETWEEN($E$14,$F$14)*$J$9)+$J$10+$J$18</f>
        <v>221933.48456383706</v>
      </c>
      <c r="K528" s="37">
        <f ca="1">(RANDBETWEEN($E$14,$F$14)*$K$9)+$K$10+$K$18</f>
        <v>260393.25392346107</v>
      </c>
      <c r="L528" s="37">
        <f ca="1">(RANDBETWEEN($E$14,$F$14)*$L$9)+$L$10+$L$18</f>
        <v>999716.39339203853</v>
      </c>
      <c r="M528" s="37">
        <f ca="1">(RANDBETWEEN($E$14,$F$14)*$M$9)+$M$10+$M$18</f>
        <v>1043245.7659826493</v>
      </c>
      <c r="N528" s="37">
        <f t="shared" ref="N528" ca="1" si="492">NPV($E$23+$F$23,H528:M528)+$H$4</f>
        <v>1400418.3705947716</v>
      </c>
    </row>
    <row r="529" spans="4:14" x14ac:dyDescent="0.25">
      <c r="D529" s="33"/>
      <c r="E529" s="33">
        <v>499</v>
      </c>
      <c r="F529" s="37"/>
      <c r="G529" s="37"/>
      <c r="H529" s="37">
        <f t="shared" si="249"/>
        <v>868800</v>
      </c>
      <c r="I529" s="37">
        <f ca="1">(RANDBETWEEN($E$14,$F$14)*$I$9)+$I$10+$I$18</f>
        <v>-189819.59895313275</v>
      </c>
      <c r="J529" s="37">
        <f ca="1">(RANDBETWEEN($E$14,$F$14)*$J$9)+$J$10+$J$18</f>
        <v>-9238.8910066427197</v>
      </c>
      <c r="K529" s="37">
        <f ca="1">(RANDBETWEEN($E$14,$F$14)*$K$9)+$K$10+$K$18</f>
        <v>24363.532183028292</v>
      </c>
      <c r="L529" s="37">
        <f ca="1">(RANDBETWEEN($E$14,$F$14)*$L$9)+$L$10+$L$18</f>
        <v>671221.40421803342</v>
      </c>
      <c r="M529" s="37">
        <f ca="1">(RANDBETWEEN($E$14,$F$14)*$M$9)+$M$10+$M$18</f>
        <v>1424944.0925515993</v>
      </c>
      <c r="N529" s="37">
        <f t="shared" ref="N529" ca="1" si="493">NPV($E$23+$F$23,H529:M529)+$H$4</f>
        <v>1196936.3912973143</v>
      </c>
    </row>
    <row r="530" spans="4:14" x14ac:dyDescent="0.25">
      <c r="D530" s="33"/>
      <c r="E530" s="33">
        <v>500</v>
      </c>
      <c r="F530" s="37"/>
      <c r="G530" s="37"/>
      <c r="H530" s="37">
        <f t="shared" si="249"/>
        <v>868800</v>
      </c>
      <c r="I530" s="37">
        <f ca="1">(RANDBETWEEN($E$14,$F$14)*$I$9)+$I$10+$I$18</f>
        <v>-369472.96408399101</v>
      </c>
      <c r="J530" s="37">
        <f ca="1">(RANDBETWEEN($E$14,$F$14)*$J$9)+$J$10+$J$18</f>
        <v>-9238.8910066427197</v>
      </c>
      <c r="K530" s="37">
        <f ca="1">(RANDBETWEEN($E$14,$F$14)*$K$9)+$K$10+$K$18</f>
        <v>24363.532183028292</v>
      </c>
      <c r="L530" s="37">
        <f ca="1">(RANDBETWEEN($E$14,$F$14)*$L$9)+$L$10+$L$18</f>
        <v>671221.40421803342</v>
      </c>
      <c r="M530" s="37">
        <f ca="1">(RANDBETWEEN($E$14,$F$14)*$M$9)+$M$10+$M$18</f>
        <v>1424944.0925515993</v>
      </c>
      <c r="N530" s="37">
        <f t="shared" ref="N530" ca="1" si="494">NPV($E$23+$F$23,H530:M530)+$H$4</f>
        <v>1033985.4932194382</v>
      </c>
    </row>
    <row r="531" spans="4:14" x14ac:dyDescent="0.25">
      <c r="D531" s="33"/>
      <c r="E531" s="33">
        <v>501</v>
      </c>
      <c r="F531" s="37"/>
      <c r="G531" s="37"/>
      <c r="H531" s="37">
        <f t="shared" si="249"/>
        <v>868800</v>
      </c>
      <c r="I531" s="37">
        <f ca="1">(RANDBETWEEN($E$14,$F$14)*$I$9)+$I$10+$I$18</f>
        <v>-369472.96408399101</v>
      </c>
      <c r="J531" s="37">
        <f ca="1">(RANDBETWEEN($E$14,$F$14)*$J$9)+$J$10+$J$18</f>
        <v>-9238.8910066427197</v>
      </c>
      <c r="K531" s="37">
        <f ca="1">(RANDBETWEEN($E$14,$F$14)*$K$9)+$K$10+$K$18</f>
        <v>24363.532183028292</v>
      </c>
      <c r="L531" s="37">
        <f ca="1">(RANDBETWEEN($E$14,$F$14)*$L$9)+$L$10+$L$18</f>
        <v>999716.39339203853</v>
      </c>
      <c r="M531" s="37">
        <f ca="1">(RANDBETWEEN($E$14,$F$14)*$M$9)+$M$10+$M$18</f>
        <v>1043245.7659826493</v>
      </c>
      <c r="N531" s="37">
        <f t="shared" ref="N531" ca="1" si="495">NPV($E$23+$F$23,H531:M531)+$H$4</f>
        <v>1006540.7446348586</v>
      </c>
    </row>
    <row r="532" spans="4:14" x14ac:dyDescent="0.25">
      <c r="D532" s="33"/>
      <c r="E532" s="33">
        <v>502</v>
      </c>
      <c r="F532" s="37"/>
      <c r="G532" s="37"/>
      <c r="H532" s="37">
        <f t="shared" si="249"/>
        <v>868800</v>
      </c>
      <c r="I532" s="37">
        <f ca="1">(RANDBETWEEN($E$14,$F$14)*$I$9)+$I$10+$I$18</f>
        <v>-189819.59895313275</v>
      </c>
      <c r="J532" s="37">
        <f ca="1">(RANDBETWEEN($E$14,$F$14)*$J$9)+$J$10+$J$18</f>
        <v>-9238.8910066427197</v>
      </c>
      <c r="K532" s="37">
        <f ca="1">(RANDBETWEEN($E$14,$F$14)*$K$9)+$K$10+$K$18</f>
        <v>24363.532183028292</v>
      </c>
      <c r="L532" s="37">
        <f ca="1">(RANDBETWEEN($E$14,$F$14)*$L$9)+$L$10+$L$18</f>
        <v>671221.40421803342</v>
      </c>
      <c r="M532" s="37">
        <f ca="1">(RANDBETWEEN($E$14,$F$14)*$M$9)+$M$10+$M$18</f>
        <v>1424944.0925515993</v>
      </c>
      <c r="N532" s="37">
        <f t="shared" ref="N532" ca="1" si="496">NPV($E$23+$F$23,H532:M532)+$H$4</f>
        <v>1196936.3912973143</v>
      </c>
    </row>
    <row r="533" spans="4:14" x14ac:dyDescent="0.25">
      <c r="D533" s="33"/>
      <c r="E533" s="33">
        <v>503</v>
      </c>
      <c r="F533" s="37"/>
      <c r="G533" s="37"/>
      <c r="H533" s="37">
        <f t="shared" si="249"/>
        <v>868800</v>
      </c>
      <c r="I533" s="37">
        <f ca="1">(RANDBETWEEN($E$14,$F$14)*$I$9)+$I$10+$I$18</f>
        <v>-189819.59895313275</v>
      </c>
      <c r="J533" s="37">
        <f ca="1">(RANDBETWEEN($E$14,$F$14)*$J$9)+$J$10+$J$18</f>
        <v>-9238.8910066427197</v>
      </c>
      <c r="K533" s="37">
        <f ca="1">(RANDBETWEEN($E$14,$F$14)*$K$9)+$K$10+$K$18</f>
        <v>24363.532183028292</v>
      </c>
      <c r="L533" s="37">
        <f ca="1">(RANDBETWEEN($E$14,$F$14)*$L$9)+$L$10+$L$18</f>
        <v>999716.39339203853</v>
      </c>
      <c r="M533" s="37">
        <f ca="1">(RANDBETWEEN($E$14,$F$14)*$M$9)+$M$10+$M$18</f>
        <v>1043245.7659826493</v>
      </c>
      <c r="N533" s="37">
        <f t="shared" ref="N533" ca="1" si="497">NPV($E$23+$F$23,H533:M533)+$H$4</f>
        <v>1169491.6427127346</v>
      </c>
    </row>
    <row r="534" spans="4:14" x14ac:dyDescent="0.25">
      <c r="D534" s="33"/>
      <c r="E534" s="33">
        <v>504</v>
      </c>
      <c r="F534" s="37"/>
      <c r="G534" s="37"/>
      <c r="H534" s="37">
        <f t="shared" si="249"/>
        <v>868800</v>
      </c>
      <c r="I534" s="37">
        <f ca="1">(RANDBETWEEN($E$14,$F$14)*$I$9)+$I$10+$I$18</f>
        <v>-369472.96408399101</v>
      </c>
      <c r="J534" s="37">
        <f ca="1">(RANDBETWEEN($E$14,$F$14)*$J$9)+$J$10+$J$18</f>
        <v>-9238.8910066427197</v>
      </c>
      <c r="K534" s="37">
        <f ca="1">(RANDBETWEEN($E$14,$F$14)*$K$9)+$K$10+$K$18</f>
        <v>260393.25392346107</v>
      </c>
      <c r="L534" s="37">
        <f ca="1">(RANDBETWEEN($E$14,$F$14)*$L$9)+$L$10+$L$18</f>
        <v>671221.40421803342</v>
      </c>
      <c r="M534" s="37">
        <f ca="1">(RANDBETWEEN($E$14,$F$14)*$M$9)+$M$10+$M$18</f>
        <v>1424944.0925515993</v>
      </c>
      <c r="N534" s="37">
        <f t="shared" ref="N534" ca="1" si="498">NPV($E$23+$F$23,H534:M534)+$H$4</f>
        <v>1228167.7294197315</v>
      </c>
    </row>
    <row r="535" spans="4:14" x14ac:dyDescent="0.25">
      <c r="D535" s="33"/>
      <c r="E535" s="33">
        <v>505</v>
      </c>
      <c r="F535" s="37"/>
      <c r="G535" s="37"/>
      <c r="H535" s="37">
        <f t="shared" si="249"/>
        <v>868800</v>
      </c>
      <c r="I535" s="37">
        <f ca="1">(RANDBETWEEN($E$14,$F$14)*$I$9)+$I$10+$I$18</f>
        <v>-369472.96408399101</v>
      </c>
      <c r="J535" s="37">
        <f ca="1">(RANDBETWEEN($E$14,$F$14)*$J$9)+$J$10+$J$18</f>
        <v>-9238.8910066427197</v>
      </c>
      <c r="K535" s="37">
        <f ca="1">(RANDBETWEEN($E$14,$F$14)*$K$9)+$K$10+$K$18</f>
        <v>260393.25392346107</v>
      </c>
      <c r="L535" s="37">
        <f ca="1">(RANDBETWEEN($E$14,$F$14)*$L$9)+$L$10+$L$18</f>
        <v>999716.39339203853</v>
      </c>
      <c r="M535" s="37">
        <f ca="1">(RANDBETWEEN($E$14,$F$14)*$M$9)+$M$10+$M$18</f>
        <v>1424944.0925515993</v>
      </c>
      <c r="N535" s="37">
        <f t="shared" ref="N535" ca="1" si="499">NPV($E$23+$F$23,H535:M535)+$H$4</f>
        <v>1485552.1489913375</v>
      </c>
    </row>
    <row r="536" spans="4:14" x14ac:dyDescent="0.25">
      <c r="D536" s="33"/>
      <c r="E536" s="33">
        <v>506</v>
      </c>
      <c r="F536" s="37"/>
      <c r="G536" s="37"/>
      <c r="H536" s="37">
        <f t="shared" si="249"/>
        <v>868800</v>
      </c>
      <c r="I536" s="37">
        <f ca="1">(RANDBETWEEN($E$14,$F$14)*$I$9)+$I$10+$I$18</f>
        <v>-369472.96408399101</v>
      </c>
      <c r="J536" s="37">
        <f ca="1">(RANDBETWEEN($E$14,$F$14)*$J$9)+$J$10+$J$18</f>
        <v>221933.48456383706</v>
      </c>
      <c r="K536" s="37">
        <f ca="1">(RANDBETWEEN($E$14,$F$14)*$K$9)+$K$10+$K$18</f>
        <v>260393.25392346107</v>
      </c>
      <c r="L536" s="37">
        <f ca="1">(RANDBETWEEN($E$14,$F$14)*$L$9)+$L$10+$L$18</f>
        <v>999716.39339203853</v>
      </c>
      <c r="M536" s="37">
        <f ca="1">(RANDBETWEEN($E$14,$F$14)*$M$9)+$M$10+$M$18</f>
        <v>1043245.7659826493</v>
      </c>
      <c r="N536" s="37">
        <f t="shared" ref="N536" ca="1" si="500">NPV($E$23+$F$23,H536:M536)+$H$4</f>
        <v>1400418.3705947716</v>
      </c>
    </row>
    <row r="537" spans="4:14" x14ac:dyDescent="0.25">
      <c r="D537" s="33"/>
      <c r="E537" s="33">
        <v>507</v>
      </c>
      <c r="F537" s="37"/>
      <c r="G537" s="37"/>
      <c r="H537" s="37">
        <f t="shared" si="249"/>
        <v>868800</v>
      </c>
      <c r="I537" s="37">
        <f ca="1">(RANDBETWEEN($E$14,$F$14)*$I$9)+$I$10+$I$18</f>
        <v>-189819.59895313275</v>
      </c>
      <c r="J537" s="37">
        <f ca="1">(RANDBETWEEN($E$14,$F$14)*$J$9)+$J$10+$J$18</f>
        <v>221933.48456383706</v>
      </c>
      <c r="K537" s="37">
        <f ca="1">(RANDBETWEEN($E$14,$F$14)*$K$9)+$K$10+$K$18</f>
        <v>24363.532183028292</v>
      </c>
      <c r="L537" s="37">
        <f ca="1">(RANDBETWEEN($E$14,$F$14)*$L$9)+$L$10+$L$18</f>
        <v>999716.39339203853</v>
      </c>
      <c r="M537" s="37">
        <f ca="1">(RANDBETWEEN($E$14,$F$14)*$M$9)+$M$10+$M$18</f>
        <v>1043245.7659826493</v>
      </c>
      <c r="N537" s="37">
        <f t="shared" ref="N537" ca="1" si="501">NPV($E$23+$F$23,H537:M537)+$H$4</f>
        <v>1369187.0324723539</v>
      </c>
    </row>
    <row r="538" spans="4:14" x14ac:dyDescent="0.25">
      <c r="D538" s="33"/>
      <c r="E538" s="33">
        <v>508</v>
      </c>
      <c r="F538" s="37"/>
      <c r="G538" s="37"/>
      <c r="H538" s="37">
        <f t="shared" si="249"/>
        <v>868800</v>
      </c>
      <c r="I538" s="37">
        <f ca="1">(RANDBETWEEN($E$14,$F$14)*$I$9)+$I$10+$I$18</f>
        <v>-369472.96408399101</v>
      </c>
      <c r="J538" s="37">
        <f ca="1">(RANDBETWEEN($E$14,$F$14)*$J$9)+$J$10+$J$18</f>
        <v>221933.48456383706</v>
      </c>
      <c r="K538" s="37">
        <f ca="1">(RANDBETWEEN($E$14,$F$14)*$K$9)+$K$10+$K$18</f>
        <v>260393.25392346107</v>
      </c>
      <c r="L538" s="37">
        <f ca="1">(RANDBETWEEN($E$14,$F$14)*$L$9)+$L$10+$L$18</f>
        <v>999716.39339203853</v>
      </c>
      <c r="M538" s="37">
        <f ca="1">(RANDBETWEEN($E$14,$F$14)*$M$9)+$M$10+$M$18</f>
        <v>1043245.7659826493</v>
      </c>
      <c r="N538" s="37">
        <f t="shared" ref="N538" ca="1" si="502">NPV($E$23+$F$23,H538:M538)+$H$4</f>
        <v>1400418.3705947716</v>
      </c>
    </row>
    <row r="539" spans="4:14" x14ac:dyDescent="0.25">
      <c r="D539" s="33"/>
      <c r="E539" s="33">
        <v>509</v>
      </c>
      <c r="F539" s="37"/>
      <c r="G539" s="37"/>
      <c r="H539" s="37">
        <f t="shared" si="249"/>
        <v>868800</v>
      </c>
      <c r="I539" s="37">
        <f ca="1">(RANDBETWEEN($E$14,$F$14)*$I$9)+$I$10+$I$18</f>
        <v>-369472.96408399101</v>
      </c>
      <c r="J539" s="37">
        <f ca="1">(RANDBETWEEN($E$14,$F$14)*$J$9)+$J$10+$J$18</f>
        <v>-9238.8910066427197</v>
      </c>
      <c r="K539" s="37">
        <f ca="1">(RANDBETWEEN($E$14,$F$14)*$K$9)+$K$10+$K$18</f>
        <v>24363.532183028292</v>
      </c>
      <c r="L539" s="37">
        <f ca="1">(RANDBETWEEN($E$14,$F$14)*$L$9)+$L$10+$L$18</f>
        <v>999716.39339203853</v>
      </c>
      <c r="M539" s="37">
        <f ca="1">(RANDBETWEEN($E$14,$F$14)*$M$9)+$M$10+$M$18</f>
        <v>1043245.7659826493</v>
      </c>
      <c r="N539" s="37">
        <f t="shared" ref="N539" ca="1" si="503">NPV($E$23+$F$23,H539:M539)+$H$4</f>
        <v>1006540.7446348586</v>
      </c>
    </row>
    <row r="540" spans="4:14" x14ac:dyDescent="0.25">
      <c r="D540" s="33"/>
      <c r="E540" s="33">
        <v>510</v>
      </c>
      <c r="F540" s="37"/>
      <c r="G540" s="37"/>
      <c r="H540" s="37">
        <f t="shared" si="249"/>
        <v>868800</v>
      </c>
      <c r="I540" s="37">
        <f ca="1">(RANDBETWEEN($E$14,$F$14)*$I$9)+$I$10+$I$18</f>
        <v>-369472.96408399101</v>
      </c>
      <c r="J540" s="37">
        <f ca="1">(RANDBETWEEN($E$14,$F$14)*$J$9)+$J$10+$J$18</f>
        <v>-9238.8910066427197</v>
      </c>
      <c r="K540" s="37">
        <f ca="1">(RANDBETWEEN($E$14,$F$14)*$K$9)+$K$10+$K$18</f>
        <v>260393.25392346107</v>
      </c>
      <c r="L540" s="37">
        <f ca="1">(RANDBETWEEN($E$14,$F$14)*$L$9)+$L$10+$L$18</f>
        <v>671221.40421803342</v>
      </c>
      <c r="M540" s="37">
        <f ca="1">(RANDBETWEEN($E$14,$F$14)*$M$9)+$M$10+$M$18</f>
        <v>1043245.7659826493</v>
      </c>
      <c r="N540" s="37">
        <f t="shared" ref="N540" ca="1" si="504">NPV($E$23+$F$23,H540:M540)+$H$4</f>
        <v>943338.56126354542</v>
      </c>
    </row>
    <row r="541" spans="4:14" x14ac:dyDescent="0.25">
      <c r="D541" s="33"/>
      <c r="E541" s="33">
        <v>511</v>
      </c>
      <c r="F541" s="37"/>
      <c r="G541" s="37"/>
      <c r="H541" s="37">
        <f t="shared" ref="H541:H795" si="505">$H$16</f>
        <v>868800</v>
      </c>
      <c r="I541" s="37">
        <f ca="1">(RANDBETWEEN($E$14,$F$14)*$I$9)+$I$10+$I$18</f>
        <v>-189819.59895313275</v>
      </c>
      <c r="J541" s="37">
        <f ca="1">(RANDBETWEEN($E$14,$F$14)*$J$9)+$J$10+$J$18</f>
        <v>-9238.8910066427197</v>
      </c>
      <c r="K541" s="37">
        <f ca="1">(RANDBETWEEN($E$14,$F$14)*$K$9)+$K$10+$K$18</f>
        <v>260393.25392346107</v>
      </c>
      <c r="L541" s="37">
        <f ca="1">(RANDBETWEEN($E$14,$F$14)*$L$9)+$L$10+$L$18</f>
        <v>999716.39339203853</v>
      </c>
      <c r="M541" s="37">
        <f ca="1">(RANDBETWEEN($E$14,$F$14)*$M$9)+$M$10+$M$18</f>
        <v>1043245.7659826493</v>
      </c>
      <c r="N541" s="37">
        <f t="shared" ref="N541" ca="1" si="506">NPV($E$23+$F$23,H541:M541)+$H$4</f>
        <v>1363673.8789130282</v>
      </c>
    </row>
    <row r="542" spans="4:14" x14ac:dyDescent="0.25">
      <c r="D542" s="33"/>
      <c r="E542" s="33">
        <v>512</v>
      </c>
      <c r="F542" s="37"/>
      <c r="G542" s="37"/>
      <c r="H542" s="37">
        <f t="shared" si="505"/>
        <v>868800</v>
      </c>
      <c r="I542" s="37">
        <f ca="1">(RANDBETWEEN($E$14,$F$14)*$I$9)+$I$10+$I$18</f>
        <v>-369472.96408399101</v>
      </c>
      <c r="J542" s="37">
        <f ca="1">(RANDBETWEEN($E$14,$F$14)*$J$9)+$J$10+$J$18</f>
        <v>221933.48456383706</v>
      </c>
      <c r="K542" s="37">
        <f ca="1">(RANDBETWEEN($E$14,$F$14)*$K$9)+$K$10+$K$18</f>
        <v>260393.25392346107</v>
      </c>
      <c r="L542" s="37">
        <f ca="1">(RANDBETWEEN($E$14,$F$14)*$L$9)+$L$10+$L$18</f>
        <v>671221.40421803342</v>
      </c>
      <c r="M542" s="37">
        <f ca="1">(RANDBETWEEN($E$14,$F$14)*$M$9)+$M$10+$M$18</f>
        <v>1043245.7659826493</v>
      </c>
      <c r="N542" s="37">
        <f t="shared" ref="N542" ca="1" si="507">NPV($E$23+$F$23,H542:M542)+$H$4</f>
        <v>1143033.9510231656</v>
      </c>
    </row>
    <row r="543" spans="4:14" x14ac:dyDescent="0.25">
      <c r="D543" s="33"/>
      <c r="E543" s="33">
        <v>513</v>
      </c>
      <c r="F543" s="37"/>
      <c r="G543" s="37"/>
      <c r="H543" s="37">
        <f t="shared" si="505"/>
        <v>868800</v>
      </c>
      <c r="I543" s="37">
        <f ca="1">(RANDBETWEEN($E$14,$F$14)*$I$9)+$I$10+$I$18</f>
        <v>-369472.96408399101</v>
      </c>
      <c r="J543" s="37">
        <f ca="1">(RANDBETWEEN($E$14,$F$14)*$J$9)+$J$10+$J$18</f>
        <v>221933.48456383706</v>
      </c>
      <c r="K543" s="37">
        <f ca="1">(RANDBETWEEN($E$14,$F$14)*$K$9)+$K$10+$K$18</f>
        <v>24363.532183028292</v>
      </c>
      <c r="L543" s="37">
        <f ca="1">(RANDBETWEEN($E$14,$F$14)*$L$9)+$L$10+$L$18</f>
        <v>999716.39339203853</v>
      </c>
      <c r="M543" s="37">
        <f ca="1">(RANDBETWEEN($E$14,$F$14)*$M$9)+$M$10+$M$18</f>
        <v>1043245.7659826493</v>
      </c>
      <c r="N543" s="37">
        <f t="shared" ref="N543" ca="1" si="508">NPV($E$23+$F$23,H543:M543)+$H$4</f>
        <v>1206236.1343944785</v>
      </c>
    </row>
    <row r="544" spans="4:14" x14ac:dyDescent="0.25">
      <c r="D544" s="33"/>
      <c r="E544" s="33">
        <v>514</v>
      </c>
      <c r="F544" s="37"/>
      <c r="G544" s="37"/>
      <c r="H544" s="37">
        <f t="shared" si="505"/>
        <v>868800</v>
      </c>
      <c r="I544" s="37">
        <f ca="1">(RANDBETWEEN($E$14,$F$14)*$I$9)+$I$10+$I$18</f>
        <v>-189819.59895313275</v>
      </c>
      <c r="J544" s="37">
        <f ca="1">(RANDBETWEEN($E$14,$F$14)*$J$9)+$J$10+$J$18</f>
        <v>-9238.8910066427197</v>
      </c>
      <c r="K544" s="37">
        <f ca="1">(RANDBETWEEN($E$14,$F$14)*$K$9)+$K$10+$K$18</f>
        <v>24363.532183028292</v>
      </c>
      <c r="L544" s="37">
        <f ca="1">(RANDBETWEEN($E$14,$F$14)*$L$9)+$L$10+$L$18</f>
        <v>671221.40421803342</v>
      </c>
      <c r="M544" s="37">
        <f ca="1">(RANDBETWEEN($E$14,$F$14)*$M$9)+$M$10+$M$18</f>
        <v>1424944.0925515993</v>
      </c>
      <c r="N544" s="37">
        <f t="shared" ref="N544" ca="1" si="509">NPV($E$23+$F$23,H544:M544)+$H$4</f>
        <v>1196936.3912973143</v>
      </c>
    </row>
    <row r="545" spans="4:17" x14ac:dyDescent="0.25">
      <c r="D545" s="33"/>
      <c r="E545" s="33">
        <v>515</v>
      </c>
      <c r="F545" s="37"/>
      <c r="G545" s="37"/>
      <c r="H545" s="37">
        <f t="shared" si="505"/>
        <v>868800</v>
      </c>
      <c r="I545" s="37">
        <f ca="1">(RANDBETWEEN($E$14,$F$14)*$I$9)+$I$10+$I$18</f>
        <v>-369472.96408399101</v>
      </c>
      <c r="J545" s="37">
        <f ca="1">(RANDBETWEEN($E$14,$F$14)*$J$9)+$J$10+$J$18</f>
        <v>221933.48456383706</v>
      </c>
      <c r="K545" s="37">
        <f ca="1">(RANDBETWEEN($E$14,$F$14)*$K$9)+$K$10+$K$18</f>
        <v>24363.532183028292</v>
      </c>
      <c r="L545" s="37">
        <f ca="1">(RANDBETWEEN($E$14,$F$14)*$L$9)+$L$10+$L$18</f>
        <v>671221.40421803342</v>
      </c>
      <c r="M545" s="37">
        <f ca="1">(RANDBETWEEN($E$14,$F$14)*$M$9)+$M$10+$M$18</f>
        <v>1424944.0925515993</v>
      </c>
      <c r="N545" s="37">
        <f t="shared" ref="N545" ca="1" si="510">NPV($E$23+$F$23,H545:M545)+$H$4</f>
        <v>1233680.8829790577</v>
      </c>
    </row>
    <row r="546" spans="4:17" x14ac:dyDescent="0.25">
      <c r="D546" s="33"/>
      <c r="E546" s="33">
        <v>516</v>
      </c>
      <c r="F546" s="37"/>
      <c r="G546" s="37"/>
      <c r="H546" s="37">
        <f t="shared" si="505"/>
        <v>868800</v>
      </c>
      <c r="I546" s="37">
        <f ca="1">(RANDBETWEEN($E$14,$F$14)*$I$9)+$I$10+$I$18</f>
        <v>-369472.96408399101</v>
      </c>
      <c r="J546" s="37">
        <f ca="1">(RANDBETWEEN($E$14,$F$14)*$J$9)+$J$10+$J$18</f>
        <v>-9238.8910066427197</v>
      </c>
      <c r="K546" s="37">
        <f ca="1">(RANDBETWEEN($E$14,$F$14)*$K$9)+$K$10+$K$18</f>
        <v>260393.25392346107</v>
      </c>
      <c r="L546" s="37">
        <f ca="1">(RANDBETWEEN($E$14,$F$14)*$L$9)+$L$10+$L$18</f>
        <v>671221.40421803342</v>
      </c>
      <c r="M546" s="37">
        <f ca="1">(RANDBETWEEN($E$14,$F$14)*$M$9)+$M$10+$M$18</f>
        <v>1043245.7659826493</v>
      </c>
      <c r="N546" s="37">
        <f t="shared" ref="N546" ca="1" si="511">NPV($E$23+$F$23,H546:M546)+$H$4</f>
        <v>943338.56126354542</v>
      </c>
    </row>
    <row r="547" spans="4:17" x14ac:dyDescent="0.25">
      <c r="D547" s="33"/>
      <c r="E547" s="33">
        <v>517</v>
      </c>
      <c r="F547" s="37"/>
      <c r="G547" s="37"/>
      <c r="H547" s="37">
        <f t="shared" si="505"/>
        <v>868800</v>
      </c>
      <c r="I547" s="37">
        <f ca="1">(RANDBETWEEN($E$14,$F$14)*$I$9)+$I$10+$I$18</f>
        <v>-189819.59895313275</v>
      </c>
      <c r="J547" s="37">
        <f ca="1">(RANDBETWEEN($E$14,$F$14)*$J$9)+$J$10+$J$18</f>
        <v>-9238.8910066427197</v>
      </c>
      <c r="K547" s="37">
        <f ca="1">(RANDBETWEEN($E$14,$F$14)*$K$9)+$K$10+$K$18</f>
        <v>260393.25392346107</v>
      </c>
      <c r="L547" s="37">
        <f ca="1">(RANDBETWEEN($E$14,$F$14)*$L$9)+$L$10+$L$18</f>
        <v>671221.40421803342</v>
      </c>
      <c r="M547" s="37">
        <f ca="1">(RANDBETWEEN($E$14,$F$14)*$M$9)+$M$10+$M$18</f>
        <v>1043245.7659826493</v>
      </c>
      <c r="N547" s="37">
        <f t="shared" ref="N547" ca="1" si="512">NPV($E$23+$F$23,H547:M547)+$H$4</f>
        <v>1106289.4593414213</v>
      </c>
    </row>
    <row r="548" spans="4:17" x14ac:dyDescent="0.25">
      <c r="D548" s="33"/>
      <c r="E548" s="33">
        <v>518</v>
      </c>
      <c r="F548" s="37"/>
      <c r="G548" s="37"/>
      <c r="H548" s="37">
        <f t="shared" si="505"/>
        <v>868800</v>
      </c>
      <c r="I548" s="37">
        <f ca="1">(RANDBETWEEN($E$14,$F$14)*$I$9)+$I$10+$I$18</f>
        <v>-189819.59895313275</v>
      </c>
      <c r="J548" s="37">
        <f ca="1">(RANDBETWEEN($E$14,$F$14)*$J$9)+$J$10+$J$18</f>
        <v>221933.48456383706</v>
      </c>
      <c r="K548" s="37">
        <f ca="1">(RANDBETWEEN($E$14,$F$14)*$K$9)+$K$10+$K$18</f>
        <v>24363.532183028292</v>
      </c>
      <c r="L548" s="37">
        <f ca="1">(RANDBETWEEN($E$14,$F$14)*$L$9)+$L$10+$L$18</f>
        <v>671221.40421803342</v>
      </c>
      <c r="M548" s="37">
        <f ca="1">(RANDBETWEEN($E$14,$F$14)*$M$9)+$M$10+$M$18</f>
        <v>1424944.0925515993</v>
      </c>
      <c r="N548" s="37">
        <f t="shared" ref="N548" ca="1" si="513">NPV($E$23+$F$23,H548:M548)+$H$4</f>
        <v>1396631.7810569336</v>
      </c>
    </row>
    <row r="549" spans="4:17" x14ac:dyDescent="0.25">
      <c r="D549" s="33"/>
      <c r="E549" s="33">
        <v>519</v>
      </c>
      <c r="F549" s="37"/>
      <c r="G549" s="37"/>
      <c r="H549" s="37">
        <f t="shared" si="505"/>
        <v>868800</v>
      </c>
      <c r="I549" s="37">
        <f ca="1">(RANDBETWEEN($E$14,$F$14)*$I$9)+$I$10+$I$18</f>
        <v>-369472.96408399101</v>
      </c>
      <c r="J549" s="37">
        <f ca="1">(RANDBETWEEN($E$14,$F$14)*$J$9)+$J$10+$J$18</f>
        <v>-9238.8910066427197</v>
      </c>
      <c r="K549" s="37">
        <f ca="1">(RANDBETWEEN($E$14,$F$14)*$K$9)+$K$10+$K$18</f>
        <v>24363.532183028292</v>
      </c>
      <c r="L549" s="37">
        <f ca="1">(RANDBETWEEN($E$14,$F$14)*$L$9)+$L$10+$L$18</f>
        <v>671221.40421803342</v>
      </c>
      <c r="M549" s="37">
        <f ca="1">(RANDBETWEEN($E$14,$F$14)*$M$9)+$M$10+$M$18</f>
        <v>1043245.7659826493</v>
      </c>
      <c r="N549" s="37">
        <f t="shared" ref="N549" ca="1" si="514">NPV($E$23+$F$23,H549:M549)+$H$4</f>
        <v>749156.32506325236</v>
      </c>
    </row>
    <row r="550" spans="4:17" x14ac:dyDescent="0.25">
      <c r="D550" s="33"/>
      <c r="E550" s="33">
        <v>520</v>
      </c>
      <c r="F550" s="37"/>
      <c r="G550" s="37"/>
      <c r="H550" s="37">
        <f t="shared" si="505"/>
        <v>868800</v>
      </c>
      <c r="I550" s="37">
        <f ca="1">(RANDBETWEEN($E$14,$F$14)*$I$9)+$I$10+$I$18</f>
        <v>-189819.59895313275</v>
      </c>
      <c r="J550" s="37">
        <f ca="1">(RANDBETWEEN($E$14,$F$14)*$J$9)+$J$10+$J$18</f>
        <v>-9238.8910066427197</v>
      </c>
      <c r="K550" s="37">
        <f ca="1">(RANDBETWEEN($E$14,$F$14)*$K$9)+$K$10+$K$18</f>
        <v>24363.532183028292</v>
      </c>
      <c r="L550" s="37">
        <f ca="1">(RANDBETWEEN($E$14,$F$14)*$L$9)+$L$10+$L$18</f>
        <v>999716.39339203853</v>
      </c>
      <c r="M550" s="37">
        <f ca="1">(RANDBETWEEN($E$14,$F$14)*$M$9)+$M$10+$M$18</f>
        <v>1424944.0925515993</v>
      </c>
      <c r="N550" s="37">
        <f t="shared" ref="N550" ca="1" si="515">NPV($E$23+$F$23,H550:M550)+$H$4</f>
        <v>1454320.8108689203</v>
      </c>
    </row>
    <row r="551" spans="4:17" x14ac:dyDescent="0.25">
      <c r="D551" s="33"/>
      <c r="E551" s="33">
        <v>521</v>
      </c>
      <c r="F551" s="37"/>
      <c r="G551" s="37"/>
      <c r="H551" s="37">
        <f t="shared" si="505"/>
        <v>868800</v>
      </c>
      <c r="I551" s="37">
        <f ca="1">(RANDBETWEEN($E$14,$F$14)*$I$9)+$I$10+$I$18</f>
        <v>-189819.59895313275</v>
      </c>
      <c r="J551" s="37">
        <f ca="1">(RANDBETWEEN($E$14,$F$14)*$J$9)+$J$10+$J$18</f>
        <v>221933.48456383706</v>
      </c>
      <c r="K551" s="37">
        <f ca="1">(RANDBETWEEN($E$14,$F$14)*$K$9)+$K$10+$K$18</f>
        <v>24363.532183028292</v>
      </c>
      <c r="L551" s="37">
        <f ca="1">(RANDBETWEEN($E$14,$F$14)*$L$9)+$L$10+$L$18</f>
        <v>999716.39339203853</v>
      </c>
      <c r="M551" s="37">
        <f ca="1">(RANDBETWEEN($E$14,$F$14)*$M$9)+$M$10+$M$18</f>
        <v>1424944.0925515993</v>
      </c>
      <c r="N551" s="37">
        <f t="shared" ref="N551" ca="1" si="516">NPV($E$23+$F$23,H551:M551)+$H$4</f>
        <v>1654016.20062854</v>
      </c>
    </row>
    <row r="552" spans="4:17" x14ac:dyDescent="0.25">
      <c r="D552" s="33"/>
      <c r="E552" s="33">
        <v>522</v>
      </c>
      <c r="F552" s="37"/>
      <c r="G552" s="37"/>
      <c r="H552" s="37">
        <f t="shared" si="505"/>
        <v>868800</v>
      </c>
      <c r="I552" s="37">
        <f ca="1">(RANDBETWEEN($E$14,$F$14)*$I$9)+$I$10+$I$18</f>
        <v>-369472.96408399101</v>
      </c>
      <c r="J552" s="37">
        <f ca="1">(RANDBETWEEN($E$14,$F$14)*$J$9)+$J$10+$J$18</f>
        <v>221933.48456383706</v>
      </c>
      <c r="K552" s="37">
        <f ca="1">(RANDBETWEEN($E$14,$F$14)*$K$9)+$K$10+$K$18</f>
        <v>260393.25392346107</v>
      </c>
      <c r="L552" s="37">
        <f ca="1">(RANDBETWEEN($E$14,$F$14)*$L$9)+$L$10+$L$18</f>
        <v>999716.39339203853</v>
      </c>
      <c r="M552" s="37">
        <f ca="1">(RANDBETWEEN($E$14,$F$14)*$M$9)+$M$10+$M$18</f>
        <v>1043245.7659826493</v>
      </c>
      <c r="N552" s="37">
        <f t="shared" ref="N552" ca="1" si="517">NPV($E$23+$F$23,H552:M552)+$H$4</f>
        <v>1400418.3705947716</v>
      </c>
    </row>
    <row r="553" spans="4:17" x14ac:dyDescent="0.25">
      <c r="D553" s="33"/>
      <c r="E553" s="33">
        <v>523</v>
      </c>
      <c r="F553" s="37"/>
      <c r="G553" s="37"/>
      <c r="H553" s="37">
        <f t="shared" si="505"/>
        <v>868800</v>
      </c>
      <c r="I553" s="37">
        <f ca="1">(RANDBETWEEN($E$14,$F$14)*$I$9)+$I$10+$I$18</f>
        <v>-189819.59895313275</v>
      </c>
      <c r="J553" s="37">
        <f ca="1">(RANDBETWEEN($E$14,$F$14)*$J$9)+$J$10+$J$18</f>
        <v>-9238.8910066427197</v>
      </c>
      <c r="K553" s="37">
        <f ca="1">(RANDBETWEEN($E$14,$F$14)*$K$9)+$K$10+$K$18</f>
        <v>260393.25392346107</v>
      </c>
      <c r="L553" s="37">
        <f ca="1">(RANDBETWEEN($E$14,$F$14)*$L$9)+$L$10+$L$18</f>
        <v>999716.39339203853</v>
      </c>
      <c r="M553" s="37">
        <f ca="1">(RANDBETWEEN($E$14,$F$14)*$M$9)+$M$10+$M$18</f>
        <v>1424944.0925515993</v>
      </c>
      <c r="N553" s="37">
        <f t="shared" ref="N553" ca="1" si="518">NPV($E$23+$F$23,H553:M553)+$H$4</f>
        <v>1648503.0470692138</v>
      </c>
    </row>
    <row r="554" spans="4:17" x14ac:dyDescent="0.25">
      <c r="D554" s="33"/>
      <c r="E554" s="33">
        <v>524</v>
      </c>
      <c r="F554" s="37"/>
      <c r="G554" s="37"/>
      <c r="H554" s="37">
        <f t="shared" si="505"/>
        <v>868800</v>
      </c>
      <c r="I554" s="37">
        <f ca="1">(RANDBETWEEN($E$14,$F$14)*$I$9)+$I$10+$I$18</f>
        <v>-189819.59895313275</v>
      </c>
      <c r="J554" s="37">
        <f ca="1">(RANDBETWEEN($E$14,$F$14)*$J$9)+$J$10+$J$18</f>
        <v>-9238.8910066427197</v>
      </c>
      <c r="K554" s="37">
        <f ca="1">(RANDBETWEEN($E$14,$F$14)*$K$9)+$K$10+$K$18</f>
        <v>260393.25392346107</v>
      </c>
      <c r="L554" s="37">
        <f ca="1">(RANDBETWEEN($E$14,$F$14)*$L$9)+$L$10+$L$18</f>
        <v>999716.39339203853</v>
      </c>
      <c r="M554" s="37">
        <f ca="1">(RANDBETWEEN($E$14,$F$14)*$M$9)+$M$10+$M$18</f>
        <v>1424944.0925515993</v>
      </c>
      <c r="N554" s="37">
        <f t="shared" ref="N554" ca="1" si="519">NPV($E$23+$F$23,H554:M554)+$H$4</f>
        <v>1648503.0470692138</v>
      </c>
    </row>
    <row r="555" spans="4:17" x14ac:dyDescent="0.25">
      <c r="D555" s="33"/>
      <c r="E555" s="33">
        <v>525</v>
      </c>
      <c r="F555" s="37"/>
      <c r="G555" s="37"/>
      <c r="H555" s="37">
        <f t="shared" si="505"/>
        <v>868800</v>
      </c>
      <c r="I555" s="37">
        <f ca="1">(RANDBETWEEN($E$14,$F$14)*$I$9)+$I$10+$I$18</f>
        <v>-189819.59895313275</v>
      </c>
      <c r="J555" s="37">
        <f ca="1">(RANDBETWEEN($E$14,$F$14)*$J$9)+$J$10+$J$18</f>
        <v>221933.48456383706</v>
      </c>
      <c r="K555" s="37">
        <f ca="1">(RANDBETWEEN($E$14,$F$14)*$K$9)+$K$10+$K$18</f>
        <v>24363.532183028292</v>
      </c>
      <c r="L555" s="37">
        <f ca="1">(RANDBETWEEN($E$14,$F$14)*$L$9)+$L$10+$L$18</f>
        <v>999716.39339203853</v>
      </c>
      <c r="M555" s="37">
        <f ca="1">(RANDBETWEEN($E$14,$F$14)*$M$9)+$M$10+$M$18</f>
        <v>1043245.7659826493</v>
      </c>
      <c r="N555" s="37">
        <f t="shared" ref="N555" ca="1" si="520">NPV($E$23+$F$23,H555:M555)+$H$4</f>
        <v>1369187.0324723539</v>
      </c>
      <c r="Q555" s="37"/>
    </row>
    <row r="556" spans="4:17" x14ac:dyDescent="0.25">
      <c r="D556" s="33"/>
      <c r="E556" s="33">
        <v>526</v>
      </c>
      <c r="F556" s="37"/>
      <c r="G556" s="37"/>
      <c r="H556" s="37">
        <f t="shared" si="505"/>
        <v>868800</v>
      </c>
      <c r="I556" s="37">
        <f ca="1">(RANDBETWEEN($E$14,$F$14)*$I$9)+$I$10+$I$18</f>
        <v>-369472.96408399101</v>
      </c>
      <c r="J556" s="37">
        <f ca="1">(RANDBETWEEN($E$14,$F$14)*$J$9)+$J$10+$J$18</f>
        <v>221933.48456383706</v>
      </c>
      <c r="K556" s="37">
        <f ca="1">(RANDBETWEEN($E$14,$F$14)*$K$9)+$K$10+$K$18</f>
        <v>24363.532183028292</v>
      </c>
      <c r="L556" s="37">
        <f ca="1">(RANDBETWEEN($E$14,$F$14)*$L$9)+$L$10+$L$18</f>
        <v>671221.40421803342</v>
      </c>
      <c r="M556" s="37">
        <f ca="1">(RANDBETWEEN($E$14,$F$14)*$M$9)+$M$10+$M$18</f>
        <v>1424944.0925515993</v>
      </c>
      <c r="N556" s="37">
        <f t="shared" ref="N556" ca="1" si="521">NPV($E$23+$F$23,H556:M556)+$H$4</f>
        <v>1233680.8829790577</v>
      </c>
    </row>
    <row r="557" spans="4:17" x14ac:dyDescent="0.25">
      <c r="D557" s="33"/>
      <c r="E557" s="33">
        <v>527</v>
      </c>
      <c r="F557" s="37"/>
      <c r="G557" s="37"/>
      <c r="H557" s="37">
        <f t="shared" si="505"/>
        <v>868800</v>
      </c>
      <c r="I557" s="37">
        <f ca="1">(RANDBETWEEN($E$14,$F$14)*$I$9)+$I$10+$I$18</f>
        <v>-369472.96408399101</v>
      </c>
      <c r="J557" s="37">
        <f ca="1">(RANDBETWEEN($E$14,$F$14)*$J$9)+$J$10+$J$18</f>
        <v>221933.48456383706</v>
      </c>
      <c r="K557" s="37">
        <f ca="1">(RANDBETWEEN($E$14,$F$14)*$K$9)+$K$10+$K$18</f>
        <v>24363.532183028292</v>
      </c>
      <c r="L557" s="37">
        <f ca="1">(RANDBETWEEN($E$14,$F$14)*$L$9)+$L$10+$L$18</f>
        <v>671221.40421803342</v>
      </c>
      <c r="M557" s="37">
        <f ca="1">(RANDBETWEEN($E$14,$F$14)*$M$9)+$M$10+$M$18</f>
        <v>1043245.7659826493</v>
      </c>
      <c r="N557" s="37">
        <f t="shared" ref="N557" ca="1" si="522">NPV($E$23+$F$23,H557:M557)+$H$4</f>
        <v>948851.71482287208</v>
      </c>
    </row>
    <row r="558" spans="4:17" x14ac:dyDescent="0.25">
      <c r="D558" s="33"/>
      <c r="E558" s="33">
        <v>528</v>
      </c>
      <c r="F558" s="37"/>
      <c r="G558" s="37"/>
      <c r="H558" s="37">
        <f t="shared" si="505"/>
        <v>868800</v>
      </c>
      <c r="I558" s="37">
        <f ca="1">(RANDBETWEEN($E$14,$F$14)*$I$9)+$I$10+$I$18</f>
        <v>-369472.96408399101</v>
      </c>
      <c r="J558" s="37">
        <f ca="1">(RANDBETWEEN($E$14,$F$14)*$J$9)+$J$10+$J$18</f>
        <v>-9238.8910066427197</v>
      </c>
      <c r="K558" s="37">
        <f ca="1">(RANDBETWEEN($E$14,$F$14)*$K$9)+$K$10+$K$18</f>
        <v>260393.25392346107</v>
      </c>
      <c r="L558" s="37">
        <f ca="1">(RANDBETWEEN($E$14,$F$14)*$L$9)+$L$10+$L$18</f>
        <v>999716.39339203853</v>
      </c>
      <c r="M558" s="37">
        <f ca="1">(RANDBETWEEN($E$14,$F$14)*$M$9)+$M$10+$M$18</f>
        <v>1424944.0925515993</v>
      </c>
      <c r="N558" s="37">
        <f t="shared" ref="N558" ca="1" si="523">NPV($E$23+$F$23,H558:M558)+$H$4</f>
        <v>1485552.1489913375</v>
      </c>
    </row>
    <row r="559" spans="4:17" x14ac:dyDescent="0.25">
      <c r="D559" s="33"/>
      <c r="E559" s="33">
        <v>529</v>
      </c>
      <c r="F559" s="37"/>
      <c r="G559" s="37"/>
      <c r="H559" s="37">
        <f t="shared" si="505"/>
        <v>868800</v>
      </c>
      <c r="I559" s="37">
        <f ca="1">(RANDBETWEEN($E$14,$F$14)*$I$9)+$I$10+$I$18</f>
        <v>-189819.59895313275</v>
      </c>
      <c r="J559" s="37">
        <f ca="1">(RANDBETWEEN($E$14,$F$14)*$J$9)+$J$10+$J$18</f>
        <v>-9238.8910066427197</v>
      </c>
      <c r="K559" s="37">
        <f ca="1">(RANDBETWEEN($E$14,$F$14)*$K$9)+$K$10+$K$18</f>
        <v>260393.25392346107</v>
      </c>
      <c r="L559" s="37">
        <f ca="1">(RANDBETWEEN($E$14,$F$14)*$L$9)+$L$10+$L$18</f>
        <v>999716.39339203853</v>
      </c>
      <c r="M559" s="37">
        <f ca="1">(RANDBETWEEN($E$14,$F$14)*$M$9)+$M$10+$M$18</f>
        <v>1043245.7659826493</v>
      </c>
      <c r="N559" s="37">
        <f t="shared" ref="N559" ca="1" si="524">NPV($E$23+$F$23,H559:M559)+$H$4</f>
        <v>1363673.8789130282</v>
      </c>
    </row>
    <row r="560" spans="4:17" x14ac:dyDescent="0.25">
      <c r="D560" s="33"/>
      <c r="E560" s="33">
        <v>530</v>
      </c>
      <c r="F560" s="37"/>
      <c r="G560" s="37"/>
      <c r="H560" s="37">
        <f t="shared" si="505"/>
        <v>868800</v>
      </c>
      <c r="I560" s="37">
        <f ca="1">(RANDBETWEEN($E$14,$F$14)*$I$9)+$I$10+$I$18</f>
        <v>-369472.96408399101</v>
      </c>
      <c r="J560" s="37">
        <f ca="1">(RANDBETWEEN($E$14,$F$14)*$J$9)+$J$10+$J$18</f>
        <v>-9238.8910066427197</v>
      </c>
      <c r="K560" s="37">
        <f ca="1">(RANDBETWEEN($E$14,$F$14)*$K$9)+$K$10+$K$18</f>
        <v>24363.532183028292</v>
      </c>
      <c r="L560" s="37">
        <f ca="1">(RANDBETWEEN($E$14,$F$14)*$L$9)+$L$10+$L$18</f>
        <v>999716.39339203853</v>
      </c>
      <c r="M560" s="37">
        <f ca="1">(RANDBETWEEN($E$14,$F$14)*$M$9)+$M$10+$M$18</f>
        <v>1424944.0925515993</v>
      </c>
      <c r="N560" s="37">
        <f t="shared" ref="N560" ca="1" si="525">NPV($E$23+$F$23,H560:M560)+$H$4</f>
        <v>1291369.9127910445</v>
      </c>
    </row>
    <row r="561" spans="4:17" x14ac:dyDescent="0.25">
      <c r="D561" s="33"/>
      <c r="E561" s="33">
        <v>531</v>
      </c>
      <c r="F561" s="37"/>
      <c r="G561" s="37"/>
      <c r="H561" s="37">
        <f t="shared" si="505"/>
        <v>868800</v>
      </c>
      <c r="I561" s="37">
        <f ca="1">(RANDBETWEEN($E$14,$F$14)*$I$9)+$I$10+$I$18</f>
        <v>-189819.59895313275</v>
      </c>
      <c r="J561" s="37">
        <f ca="1">(RANDBETWEEN($E$14,$F$14)*$J$9)+$J$10+$J$18</f>
        <v>221933.48456383706</v>
      </c>
      <c r="K561" s="37">
        <f ca="1">(RANDBETWEEN($E$14,$F$14)*$K$9)+$K$10+$K$18</f>
        <v>260393.25392346107</v>
      </c>
      <c r="L561" s="37">
        <f ca="1">(RANDBETWEEN($E$14,$F$14)*$L$9)+$L$10+$L$18</f>
        <v>671221.40421803342</v>
      </c>
      <c r="M561" s="37">
        <f ca="1">(RANDBETWEEN($E$14,$F$14)*$M$9)+$M$10+$M$18</f>
        <v>1424944.0925515993</v>
      </c>
      <c r="N561" s="37">
        <f t="shared" ref="N561" ca="1" si="526">NPV($E$23+$F$23,H561:M561)+$H$4</f>
        <v>1590814.0172572271</v>
      </c>
    </row>
    <row r="562" spans="4:17" x14ac:dyDescent="0.25">
      <c r="D562" s="33"/>
      <c r="E562" s="33">
        <v>532</v>
      </c>
      <c r="F562" s="37"/>
      <c r="G562" s="37"/>
      <c r="H562" s="37">
        <f t="shared" si="505"/>
        <v>868800</v>
      </c>
      <c r="I562" s="37">
        <f ca="1">(RANDBETWEEN($E$14,$F$14)*$I$9)+$I$10+$I$18</f>
        <v>-189819.59895313275</v>
      </c>
      <c r="J562" s="37">
        <f ca="1">(RANDBETWEEN($E$14,$F$14)*$J$9)+$J$10+$J$18</f>
        <v>-9238.8910066427197</v>
      </c>
      <c r="K562" s="37">
        <f ca="1">(RANDBETWEEN($E$14,$F$14)*$K$9)+$K$10+$K$18</f>
        <v>24363.532183028292</v>
      </c>
      <c r="L562" s="37">
        <f ca="1">(RANDBETWEEN($E$14,$F$14)*$L$9)+$L$10+$L$18</f>
        <v>671221.40421803342</v>
      </c>
      <c r="M562" s="37">
        <f ca="1">(RANDBETWEEN($E$14,$F$14)*$M$9)+$M$10+$M$18</f>
        <v>1043245.7659826493</v>
      </c>
      <c r="N562" s="37">
        <f t="shared" ref="N562" ca="1" si="527">NPV($E$23+$F$23,H562:M562)+$H$4</f>
        <v>912107.22314112843</v>
      </c>
    </row>
    <row r="563" spans="4:17" x14ac:dyDescent="0.25">
      <c r="D563" s="33"/>
      <c r="E563" s="33">
        <v>533</v>
      </c>
      <c r="F563" s="37"/>
      <c r="G563" s="37"/>
      <c r="H563" s="37">
        <f t="shared" si="505"/>
        <v>868800</v>
      </c>
      <c r="I563" s="37">
        <f ca="1">(RANDBETWEEN($E$14,$F$14)*$I$9)+$I$10+$I$18</f>
        <v>-369472.96408399101</v>
      </c>
      <c r="J563" s="37">
        <f ca="1">(RANDBETWEEN($E$14,$F$14)*$J$9)+$J$10+$J$18</f>
        <v>221933.48456383706</v>
      </c>
      <c r="K563" s="37">
        <f ca="1">(RANDBETWEEN($E$14,$F$14)*$K$9)+$K$10+$K$18</f>
        <v>260393.25392346107</v>
      </c>
      <c r="L563" s="37">
        <f ca="1">(RANDBETWEEN($E$14,$F$14)*$L$9)+$L$10+$L$18</f>
        <v>671221.40421803342</v>
      </c>
      <c r="M563" s="37">
        <f ca="1">(RANDBETWEEN($E$14,$F$14)*$M$9)+$M$10+$M$18</f>
        <v>1424944.0925515993</v>
      </c>
      <c r="N563" s="37">
        <f t="shared" ref="N563" ca="1" si="528">NPV($E$23+$F$23,H563:M563)+$H$4</f>
        <v>1427863.1191793513</v>
      </c>
    </row>
    <row r="564" spans="4:17" x14ac:dyDescent="0.25">
      <c r="D564" s="33"/>
      <c r="E564" s="33">
        <v>534</v>
      </c>
      <c r="F564" s="37"/>
      <c r="G564" s="37"/>
      <c r="H564" s="37">
        <f t="shared" si="505"/>
        <v>868800</v>
      </c>
      <c r="I564" s="37">
        <f ca="1">(RANDBETWEEN($E$14,$F$14)*$I$9)+$I$10+$I$18</f>
        <v>-369472.96408399101</v>
      </c>
      <c r="J564" s="37">
        <f ca="1">(RANDBETWEEN($E$14,$F$14)*$J$9)+$J$10+$J$18</f>
        <v>-9238.8910066427197</v>
      </c>
      <c r="K564" s="37">
        <f ca="1">(RANDBETWEEN($E$14,$F$14)*$K$9)+$K$10+$K$18</f>
        <v>260393.25392346107</v>
      </c>
      <c r="L564" s="37">
        <f ca="1">(RANDBETWEEN($E$14,$F$14)*$L$9)+$L$10+$L$18</f>
        <v>999716.39339203853</v>
      </c>
      <c r="M564" s="37">
        <f ca="1">(RANDBETWEEN($E$14,$F$14)*$M$9)+$M$10+$M$18</f>
        <v>1424944.0925515993</v>
      </c>
      <c r="N564" s="37">
        <f t="shared" ref="N564" ca="1" si="529">NPV($E$23+$F$23,H564:M564)+$H$4</f>
        <v>1485552.1489913375</v>
      </c>
    </row>
    <row r="565" spans="4:17" x14ac:dyDescent="0.25">
      <c r="D565" s="33"/>
      <c r="E565" s="33">
        <v>535</v>
      </c>
      <c r="F565" s="37"/>
      <c r="G565" s="37"/>
      <c r="H565" s="37">
        <f t="shared" si="505"/>
        <v>868800</v>
      </c>
      <c r="I565" s="37">
        <f ca="1">(RANDBETWEEN($E$14,$F$14)*$I$9)+$I$10+$I$18</f>
        <v>-369472.96408399101</v>
      </c>
      <c r="J565" s="37">
        <f ca="1">(RANDBETWEEN($E$14,$F$14)*$J$9)+$J$10+$J$18</f>
        <v>-9238.8910066427197</v>
      </c>
      <c r="K565" s="37">
        <f ca="1">(RANDBETWEEN($E$14,$F$14)*$K$9)+$K$10+$K$18</f>
        <v>24363.532183028292</v>
      </c>
      <c r="L565" s="37">
        <f ca="1">(RANDBETWEEN($E$14,$F$14)*$L$9)+$L$10+$L$18</f>
        <v>999716.39339203853</v>
      </c>
      <c r="M565" s="37">
        <f ca="1">(RANDBETWEEN($E$14,$F$14)*$M$9)+$M$10+$M$18</f>
        <v>1424944.0925515993</v>
      </c>
      <c r="N565" s="37">
        <f t="shared" ref="N565" ca="1" si="530">NPV($E$23+$F$23,H565:M565)+$H$4</f>
        <v>1291369.9127910445</v>
      </c>
    </row>
    <row r="566" spans="4:17" x14ac:dyDescent="0.25">
      <c r="D566" s="33"/>
      <c r="E566" s="33">
        <v>536</v>
      </c>
      <c r="F566" s="37"/>
      <c r="G566" s="37"/>
      <c r="H566" s="37">
        <f t="shared" si="505"/>
        <v>868800</v>
      </c>
      <c r="I566" s="37">
        <f ca="1">(RANDBETWEEN($E$14,$F$14)*$I$9)+$I$10+$I$18</f>
        <v>-369472.96408399101</v>
      </c>
      <c r="J566" s="37">
        <f ca="1">(RANDBETWEEN($E$14,$F$14)*$J$9)+$J$10+$J$18</f>
        <v>221933.48456383706</v>
      </c>
      <c r="K566" s="37">
        <f ca="1">(RANDBETWEEN($E$14,$F$14)*$K$9)+$K$10+$K$18</f>
        <v>24363.532183028292</v>
      </c>
      <c r="L566" s="37">
        <f ca="1">(RANDBETWEEN($E$14,$F$14)*$L$9)+$L$10+$L$18</f>
        <v>671221.40421803342</v>
      </c>
      <c r="M566" s="37">
        <f ca="1">(RANDBETWEEN($E$14,$F$14)*$M$9)+$M$10+$M$18</f>
        <v>1043245.7659826493</v>
      </c>
      <c r="N566" s="37">
        <f t="shared" ref="N566" ca="1" si="531">NPV($E$23+$F$23,H566:M566)+$H$4</f>
        <v>948851.71482287208</v>
      </c>
    </row>
    <row r="567" spans="4:17" x14ac:dyDescent="0.25">
      <c r="D567" s="33"/>
      <c r="E567" s="33">
        <v>537</v>
      </c>
      <c r="F567" s="37"/>
      <c r="G567" s="37"/>
      <c r="H567" s="37">
        <f t="shared" si="505"/>
        <v>868800</v>
      </c>
      <c r="I567" s="37">
        <f ca="1">(RANDBETWEEN($E$14,$F$14)*$I$9)+$I$10+$I$18</f>
        <v>-369472.96408399101</v>
      </c>
      <c r="J567" s="37">
        <f ca="1">(RANDBETWEEN($E$14,$F$14)*$J$9)+$J$10+$J$18</f>
        <v>221933.48456383706</v>
      </c>
      <c r="K567" s="37">
        <f ca="1">(RANDBETWEEN($E$14,$F$14)*$K$9)+$K$10+$K$18</f>
        <v>24363.532183028292</v>
      </c>
      <c r="L567" s="37">
        <f ca="1">(RANDBETWEEN($E$14,$F$14)*$L$9)+$L$10+$L$18</f>
        <v>999716.39339203853</v>
      </c>
      <c r="M567" s="37">
        <f ca="1">(RANDBETWEEN($E$14,$F$14)*$M$9)+$M$10+$M$18</f>
        <v>1424944.0925515993</v>
      </c>
      <c r="N567" s="37">
        <f t="shared" ref="N567" ca="1" si="532">NPV($E$23+$F$23,H567:M567)+$H$4</f>
        <v>1491065.3025506642</v>
      </c>
    </row>
    <row r="568" spans="4:17" x14ac:dyDescent="0.25">
      <c r="D568" s="33"/>
      <c r="E568" s="33">
        <v>538</v>
      </c>
      <c r="F568" s="37"/>
      <c r="G568" s="37"/>
      <c r="H568" s="37">
        <f t="shared" si="505"/>
        <v>868800</v>
      </c>
      <c r="I568" s="37">
        <f ca="1">(RANDBETWEEN($E$14,$F$14)*$I$9)+$I$10+$I$18</f>
        <v>-369472.96408399101</v>
      </c>
      <c r="J568" s="37">
        <f ca="1">(RANDBETWEEN($E$14,$F$14)*$J$9)+$J$10+$J$18</f>
        <v>221933.48456383706</v>
      </c>
      <c r="K568" s="37">
        <f ca="1">(RANDBETWEEN($E$14,$F$14)*$K$9)+$K$10+$K$18</f>
        <v>260393.25392346107</v>
      </c>
      <c r="L568" s="37">
        <f ca="1">(RANDBETWEEN($E$14,$F$14)*$L$9)+$L$10+$L$18</f>
        <v>671221.40421803342</v>
      </c>
      <c r="M568" s="37">
        <f ca="1">(RANDBETWEEN($E$14,$F$14)*$M$9)+$M$10+$M$18</f>
        <v>1424944.0925515993</v>
      </c>
      <c r="N568" s="37">
        <f t="shared" ref="N568" ca="1" si="533">NPV($E$23+$F$23,H568:M568)+$H$4</f>
        <v>1427863.1191793513</v>
      </c>
    </row>
    <row r="569" spans="4:17" x14ac:dyDescent="0.25">
      <c r="D569" s="33"/>
      <c r="E569" s="33">
        <v>539</v>
      </c>
      <c r="F569" s="37"/>
      <c r="G569" s="37"/>
      <c r="H569" s="37">
        <f t="shared" si="505"/>
        <v>868800</v>
      </c>
      <c r="I569" s="37">
        <f ca="1">(RANDBETWEEN($E$14,$F$14)*$I$9)+$I$10+$I$18</f>
        <v>-369472.96408399101</v>
      </c>
      <c r="J569" s="37">
        <f ca="1">(RANDBETWEEN($E$14,$F$14)*$J$9)+$J$10+$J$18</f>
        <v>-9238.8910066427197</v>
      </c>
      <c r="K569" s="37">
        <f ca="1">(RANDBETWEEN($E$14,$F$14)*$K$9)+$K$10+$K$18</f>
        <v>24363.532183028292</v>
      </c>
      <c r="L569" s="37">
        <f ca="1">(RANDBETWEEN($E$14,$F$14)*$L$9)+$L$10+$L$18</f>
        <v>999716.39339203853</v>
      </c>
      <c r="M569" s="37">
        <f ca="1">(RANDBETWEEN($E$14,$F$14)*$M$9)+$M$10+$M$18</f>
        <v>1424944.0925515993</v>
      </c>
      <c r="N569" s="37">
        <f t="shared" ref="N569" ca="1" si="534">NPV($E$23+$F$23,H569:M569)+$H$4</f>
        <v>1291369.9127910445</v>
      </c>
    </row>
    <row r="570" spans="4:17" x14ac:dyDescent="0.25">
      <c r="D570" s="33"/>
      <c r="E570" s="33">
        <v>540</v>
      </c>
      <c r="F570" s="37"/>
      <c r="G570" s="37"/>
      <c r="H570" s="37">
        <f t="shared" si="505"/>
        <v>868800</v>
      </c>
      <c r="I570" s="37">
        <f ca="1">(RANDBETWEEN($E$14,$F$14)*$I$9)+$I$10+$I$18</f>
        <v>-189819.59895313275</v>
      </c>
      <c r="J570" s="37">
        <f ca="1">(RANDBETWEEN($E$14,$F$14)*$J$9)+$J$10+$J$18</f>
        <v>-9238.8910066427197</v>
      </c>
      <c r="K570" s="37">
        <f ca="1">(RANDBETWEEN($E$14,$F$14)*$K$9)+$K$10+$K$18</f>
        <v>260393.25392346107</v>
      </c>
      <c r="L570" s="37">
        <f ca="1">(RANDBETWEEN($E$14,$F$14)*$L$9)+$L$10+$L$18</f>
        <v>999716.39339203853</v>
      </c>
      <c r="M570" s="37">
        <f ca="1">(RANDBETWEEN($E$14,$F$14)*$M$9)+$M$10+$M$18</f>
        <v>1043245.7659826493</v>
      </c>
      <c r="N570" s="37">
        <f t="shared" ref="N570" ca="1" si="535">NPV($E$23+$F$23,H570:M570)+$H$4</f>
        <v>1363673.8789130282</v>
      </c>
      <c r="Q570" s="37"/>
    </row>
    <row r="571" spans="4:17" x14ac:dyDescent="0.25">
      <c r="D571" s="33"/>
      <c r="E571" s="33">
        <v>541</v>
      </c>
      <c r="F571" s="37"/>
      <c r="G571" s="37"/>
      <c r="H571" s="37">
        <f t="shared" si="505"/>
        <v>868800</v>
      </c>
      <c r="I571" s="37">
        <f ca="1">(RANDBETWEEN($E$14,$F$14)*$I$9)+$I$10+$I$18</f>
        <v>-369472.96408399101</v>
      </c>
      <c r="J571" s="37">
        <f ca="1">(RANDBETWEEN($E$14,$F$14)*$J$9)+$J$10+$J$18</f>
        <v>221933.48456383706</v>
      </c>
      <c r="K571" s="37">
        <f ca="1">(RANDBETWEEN($E$14,$F$14)*$K$9)+$K$10+$K$18</f>
        <v>24363.532183028292</v>
      </c>
      <c r="L571" s="37">
        <f ca="1">(RANDBETWEEN($E$14,$F$14)*$L$9)+$L$10+$L$18</f>
        <v>671221.40421803342</v>
      </c>
      <c r="M571" s="37">
        <f ca="1">(RANDBETWEEN($E$14,$F$14)*$M$9)+$M$10+$M$18</f>
        <v>1043245.7659826493</v>
      </c>
      <c r="N571" s="37">
        <f t="shared" ref="N571" ca="1" si="536">NPV($E$23+$F$23,H571:M571)+$H$4</f>
        <v>948851.71482287208</v>
      </c>
    </row>
    <row r="572" spans="4:17" x14ac:dyDescent="0.25">
      <c r="D572" s="33"/>
      <c r="E572" s="33">
        <v>542</v>
      </c>
      <c r="F572" s="37"/>
      <c r="G572" s="37"/>
      <c r="H572" s="37">
        <f t="shared" si="505"/>
        <v>868800</v>
      </c>
      <c r="I572" s="37">
        <f ca="1">(RANDBETWEEN($E$14,$F$14)*$I$9)+$I$10+$I$18</f>
        <v>-369472.96408399101</v>
      </c>
      <c r="J572" s="37">
        <f ca="1">(RANDBETWEEN($E$14,$F$14)*$J$9)+$J$10+$J$18</f>
        <v>-9238.8910066427197</v>
      </c>
      <c r="K572" s="37">
        <f ca="1">(RANDBETWEEN($E$14,$F$14)*$K$9)+$K$10+$K$18</f>
        <v>24363.532183028292</v>
      </c>
      <c r="L572" s="37">
        <f ca="1">(RANDBETWEEN($E$14,$F$14)*$L$9)+$L$10+$L$18</f>
        <v>999716.39339203853</v>
      </c>
      <c r="M572" s="37">
        <f ca="1">(RANDBETWEEN($E$14,$F$14)*$M$9)+$M$10+$M$18</f>
        <v>1043245.7659826493</v>
      </c>
      <c r="N572" s="37">
        <f t="shared" ref="N572" ca="1" si="537">NPV($E$23+$F$23,H572:M572)+$H$4</f>
        <v>1006540.7446348586</v>
      </c>
    </row>
    <row r="573" spans="4:17" x14ac:dyDescent="0.25">
      <c r="D573" s="33"/>
      <c r="E573" s="33">
        <v>543</v>
      </c>
      <c r="F573" s="37"/>
      <c r="G573" s="37"/>
      <c r="H573" s="37">
        <f t="shared" si="505"/>
        <v>868800</v>
      </c>
      <c r="I573" s="37">
        <f ca="1">(RANDBETWEEN($E$14,$F$14)*$I$9)+$I$10+$I$18</f>
        <v>-369472.96408399101</v>
      </c>
      <c r="J573" s="37">
        <f ca="1">(RANDBETWEEN($E$14,$F$14)*$J$9)+$J$10+$J$18</f>
        <v>221933.48456383706</v>
      </c>
      <c r="K573" s="37">
        <f ca="1">(RANDBETWEEN($E$14,$F$14)*$K$9)+$K$10+$K$18</f>
        <v>24363.532183028292</v>
      </c>
      <c r="L573" s="37">
        <f ca="1">(RANDBETWEEN($E$14,$F$14)*$L$9)+$L$10+$L$18</f>
        <v>671221.40421803342</v>
      </c>
      <c r="M573" s="37">
        <f ca="1">(RANDBETWEEN($E$14,$F$14)*$M$9)+$M$10+$M$18</f>
        <v>1043245.7659826493</v>
      </c>
      <c r="N573" s="37">
        <f t="shared" ref="N573" ca="1" si="538">NPV($E$23+$F$23,H573:M573)+$H$4</f>
        <v>948851.71482287208</v>
      </c>
    </row>
    <row r="574" spans="4:17" x14ac:dyDescent="0.25">
      <c r="D574" s="33"/>
      <c r="E574" s="33">
        <v>544</v>
      </c>
      <c r="F574" s="37"/>
      <c r="G574" s="37"/>
      <c r="H574" s="37">
        <f t="shared" si="505"/>
        <v>868800</v>
      </c>
      <c r="I574" s="37">
        <f ca="1">(RANDBETWEEN($E$14,$F$14)*$I$9)+$I$10+$I$18</f>
        <v>-189819.59895313275</v>
      </c>
      <c r="J574" s="37">
        <f ca="1">(RANDBETWEEN($E$14,$F$14)*$J$9)+$J$10+$J$18</f>
        <v>221933.48456383706</v>
      </c>
      <c r="K574" s="37">
        <f ca="1">(RANDBETWEEN($E$14,$F$14)*$K$9)+$K$10+$K$18</f>
        <v>24363.532183028292</v>
      </c>
      <c r="L574" s="37">
        <f ca="1">(RANDBETWEEN($E$14,$F$14)*$L$9)+$L$10+$L$18</f>
        <v>999716.39339203853</v>
      </c>
      <c r="M574" s="37">
        <f ca="1">(RANDBETWEEN($E$14,$F$14)*$M$9)+$M$10+$M$18</f>
        <v>1043245.7659826493</v>
      </c>
      <c r="N574" s="37">
        <f t="shared" ref="N574" ca="1" si="539">NPV($E$23+$F$23,H574:M574)+$H$4</f>
        <v>1369187.0324723539</v>
      </c>
    </row>
    <row r="575" spans="4:17" x14ac:dyDescent="0.25">
      <c r="D575" s="33"/>
      <c r="E575" s="33">
        <v>545</v>
      </c>
      <c r="F575" s="37"/>
      <c r="G575" s="37"/>
      <c r="H575" s="37">
        <f t="shared" si="505"/>
        <v>868800</v>
      </c>
      <c r="I575" s="37">
        <f ca="1">(RANDBETWEEN($E$14,$F$14)*$I$9)+$I$10+$I$18</f>
        <v>-369472.96408399101</v>
      </c>
      <c r="J575" s="37">
        <f ca="1">(RANDBETWEEN($E$14,$F$14)*$J$9)+$J$10+$J$18</f>
        <v>221933.48456383706</v>
      </c>
      <c r="K575" s="37">
        <f ca="1">(RANDBETWEEN($E$14,$F$14)*$K$9)+$K$10+$K$18</f>
        <v>260393.25392346107</v>
      </c>
      <c r="L575" s="37">
        <f ca="1">(RANDBETWEEN($E$14,$F$14)*$L$9)+$L$10+$L$18</f>
        <v>671221.40421803342</v>
      </c>
      <c r="M575" s="37">
        <f ca="1">(RANDBETWEEN($E$14,$F$14)*$M$9)+$M$10+$M$18</f>
        <v>1424944.0925515993</v>
      </c>
      <c r="N575" s="37">
        <f t="shared" ref="N575" ca="1" si="540">NPV($E$23+$F$23,H575:M575)+$H$4</f>
        <v>1427863.1191793513</v>
      </c>
    </row>
    <row r="576" spans="4:17" x14ac:dyDescent="0.25">
      <c r="D576" s="33"/>
      <c r="E576" s="33">
        <v>546</v>
      </c>
      <c r="F576" s="37"/>
      <c r="G576" s="37"/>
      <c r="H576" s="37">
        <f t="shared" si="505"/>
        <v>868800</v>
      </c>
      <c r="I576" s="37">
        <f ca="1">(RANDBETWEEN($E$14,$F$14)*$I$9)+$I$10+$I$18</f>
        <v>-369472.96408399101</v>
      </c>
      <c r="J576" s="37">
        <f ca="1">(RANDBETWEEN($E$14,$F$14)*$J$9)+$J$10+$J$18</f>
        <v>-9238.8910066427197</v>
      </c>
      <c r="K576" s="37">
        <f ca="1">(RANDBETWEEN($E$14,$F$14)*$K$9)+$K$10+$K$18</f>
        <v>260393.25392346107</v>
      </c>
      <c r="L576" s="37">
        <f ca="1">(RANDBETWEEN($E$14,$F$14)*$L$9)+$L$10+$L$18</f>
        <v>671221.40421803342</v>
      </c>
      <c r="M576" s="37">
        <f ca="1">(RANDBETWEEN($E$14,$F$14)*$M$9)+$M$10+$M$18</f>
        <v>1424944.0925515993</v>
      </c>
      <c r="N576" s="37">
        <f t="shared" ref="N576" ca="1" si="541">NPV($E$23+$F$23,H576:M576)+$H$4</f>
        <v>1228167.7294197315</v>
      </c>
    </row>
    <row r="577" spans="4:17" x14ac:dyDescent="0.25">
      <c r="D577" s="33"/>
      <c r="E577" s="33">
        <v>547</v>
      </c>
      <c r="F577" s="37"/>
      <c r="G577" s="37"/>
      <c r="H577" s="37">
        <f t="shared" si="505"/>
        <v>868800</v>
      </c>
      <c r="I577" s="37">
        <f ca="1">(RANDBETWEEN($E$14,$F$14)*$I$9)+$I$10+$I$18</f>
        <v>-189819.59895313275</v>
      </c>
      <c r="J577" s="37">
        <f ca="1">(RANDBETWEEN($E$14,$F$14)*$J$9)+$J$10+$J$18</f>
        <v>221933.48456383706</v>
      </c>
      <c r="K577" s="37">
        <f ca="1">(RANDBETWEEN($E$14,$F$14)*$K$9)+$K$10+$K$18</f>
        <v>24363.532183028292</v>
      </c>
      <c r="L577" s="37">
        <f ca="1">(RANDBETWEEN($E$14,$F$14)*$L$9)+$L$10+$L$18</f>
        <v>671221.40421803342</v>
      </c>
      <c r="M577" s="37">
        <f ca="1">(RANDBETWEEN($E$14,$F$14)*$M$9)+$M$10+$M$18</f>
        <v>1043245.7659826493</v>
      </c>
      <c r="N577" s="37">
        <f t="shared" ref="N577" ca="1" si="542">NPV($E$23+$F$23,H577:M577)+$H$4</f>
        <v>1111802.6129007479</v>
      </c>
    </row>
    <row r="578" spans="4:17" x14ac:dyDescent="0.25">
      <c r="D578" s="33"/>
      <c r="E578" s="33">
        <v>548</v>
      </c>
      <c r="F578" s="37"/>
      <c r="G578" s="37"/>
      <c r="H578" s="37">
        <f t="shared" si="505"/>
        <v>868800</v>
      </c>
      <c r="I578" s="37">
        <f ca="1">(RANDBETWEEN($E$14,$F$14)*$I$9)+$I$10+$I$18</f>
        <v>-189819.59895313275</v>
      </c>
      <c r="J578" s="37">
        <f ca="1">(RANDBETWEEN($E$14,$F$14)*$J$9)+$J$10+$J$18</f>
        <v>221933.48456383706</v>
      </c>
      <c r="K578" s="37">
        <f ca="1">(RANDBETWEEN($E$14,$F$14)*$K$9)+$K$10+$K$18</f>
        <v>24363.532183028292</v>
      </c>
      <c r="L578" s="37">
        <f ca="1">(RANDBETWEEN($E$14,$F$14)*$L$9)+$L$10+$L$18</f>
        <v>999716.39339203853</v>
      </c>
      <c r="M578" s="37">
        <f ca="1">(RANDBETWEEN($E$14,$F$14)*$M$9)+$M$10+$M$18</f>
        <v>1043245.7659826493</v>
      </c>
      <c r="N578" s="37">
        <f t="shared" ref="N578" ca="1" si="543">NPV($E$23+$F$23,H578:M578)+$H$4</f>
        <v>1369187.0324723539</v>
      </c>
    </row>
    <row r="579" spans="4:17" x14ac:dyDescent="0.25">
      <c r="D579" s="33"/>
      <c r="E579" s="33">
        <v>549</v>
      </c>
      <c r="F579" s="37"/>
      <c r="G579" s="37"/>
      <c r="H579" s="37">
        <f t="shared" si="505"/>
        <v>868800</v>
      </c>
      <c r="I579" s="37">
        <f ca="1">(RANDBETWEEN($E$14,$F$14)*$I$9)+$I$10+$I$18</f>
        <v>-369472.96408399101</v>
      </c>
      <c r="J579" s="37">
        <f ca="1">(RANDBETWEEN($E$14,$F$14)*$J$9)+$J$10+$J$18</f>
        <v>-9238.8910066427197</v>
      </c>
      <c r="K579" s="37">
        <f ca="1">(RANDBETWEEN($E$14,$F$14)*$K$9)+$K$10+$K$18</f>
        <v>24363.532183028292</v>
      </c>
      <c r="L579" s="37">
        <f ca="1">(RANDBETWEEN($E$14,$F$14)*$L$9)+$L$10+$L$18</f>
        <v>999716.39339203853</v>
      </c>
      <c r="M579" s="37">
        <f ca="1">(RANDBETWEEN($E$14,$F$14)*$M$9)+$M$10+$M$18</f>
        <v>1424944.0925515993</v>
      </c>
      <c r="N579" s="37">
        <f t="shared" ref="N579" ca="1" si="544">NPV($E$23+$F$23,H579:M579)+$H$4</f>
        <v>1291369.9127910445</v>
      </c>
    </row>
    <row r="580" spans="4:17" x14ac:dyDescent="0.25">
      <c r="D580" s="33"/>
      <c r="E580" s="33">
        <v>550</v>
      </c>
      <c r="F580" s="37"/>
      <c r="G580" s="37"/>
      <c r="H580" s="37">
        <f t="shared" si="505"/>
        <v>868800</v>
      </c>
      <c r="I580" s="37">
        <f ca="1">(RANDBETWEEN($E$14,$F$14)*$I$9)+$I$10+$I$18</f>
        <v>-189819.59895313275</v>
      </c>
      <c r="J580" s="37">
        <f ca="1">(RANDBETWEEN($E$14,$F$14)*$J$9)+$J$10+$J$18</f>
        <v>221933.48456383706</v>
      </c>
      <c r="K580" s="37">
        <f ca="1">(RANDBETWEEN($E$14,$F$14)*$K$9)+$K$10+$K$18</f>
        <v>260393.25392346107</v>
      </c>
      <c r="L580" s="37">
        <f ca="1">(RANDBETWEEN($E$14,$F$14)*$L$9)+$L$10+$L$18</f>
        <v>671221.40421803342</v>
      </c>
      <c r="M580" s="37">
        <f ca="1">(RANDBETWEEN($E$14,$F$14)*$M$9)+$M$10+$M$18</f>
        <v>1424944.0925515993</v>
      </c>
      <c r="N580" s="37">
        <f t="shared" ref="N580" ca="1" si="545">NPV($E$23+$F$23,H580:M580)+$H$4</f>
        <v>1590814.0172572271</v>
      </c>
    </row>
    <row r="581" spans="4:17" x14ac:dyDescent="0.25">
      <c r="D581" s="33"/>
      <c r="E581" s="33">
        <v>551</v>
      </c>
      <c r="F581" s="37"/>
      <c r="G581" s="37"/>
      <c r="H581" s="37">
        <f t="shared" si="505"/>
        <v>868800</v>
      </c>
      <c r="I581" s="37">
        <f ca="1">(RANDBETWEEN($E$14,$F$14)*$I$9)+$I$10+$I$18</f>
        <v>-189819.59895313275</v>
      </c>
      <c r="J581" s="37">
        <f ca="1">(RANDBETWEEN($E$14,$F$14)*$J$9)+$J$10+$J$18</f>
        <v>-9238.8910066427197</v>
      </c>
      <c r="K581" s="37">
        <f ca="1">(RANDBETWEEN($E$14,$F$14)*$K$9)+$K$10+$K$18</f>
        <v>24363.532183028292</v>
      </c>
      <c r="L581" s="37">
        <f ca="1">(RANDBETWEEN($E$14,$F$14)*$L$9)+$L$10+$L$18</f>
        <v>999716.39339203853</v>
      </c>
      <c r="M581" s="37">
        <f ca="1">(RANDBETWEEN($E$14,$F$14)*$M$9)+$M$10+$M$18</f>
        <v>1424944.0925515993</v>
      </c>
      <c r="N581" s="37">
        <f t="shared" ref="N581" ca="1" si="546">NPV($E$23+$F$23,H581:M581)+$H$4</f>
        <v>1454320.8108689203</v>
      </c>
    </row>
    <row r="582" spans="4:17" x14ac:dyDescent="0.25">
      <c r="D582" s="33"/>
      <c r="E582" s="33">
        <v>552</v>
      </c>
      <c r="F582" s="37"/>
      <c r="G582" s="37"/>
      <c r="H582" s="37">
        <f t="shared" si="505"/>
        <v>868800</v>
      </c>
      <c r="I582" s="37">
        <f ca="1">(RANDBETWEEN($E$14,$F$14)*$I$9)+$I$10+$I$18</f>
        <v>-189819.59895313275</v>
      </c>
      <c r="J582" s="37">
        <f ca="1">(RANDBETWEEN($E$14,$F$14)*$J$9)+$J$10+$J$18</f>
        <v>221933.48456383706</v>
      </c>
      <c r="K582" s="37">
        <f ca="1">(RANDBETWEEN($E$14,$F$14)*$K$9)+$K$10+$K$18</f>
        <v>260393.25392346107</v>
      </c>
      <c r="L582" s="37">
        <f ca="1">(RANDBETWEEN($E$14,$F$14)*$L$9)+$L$10+$L$18</f>
        <v>671221.40421803342</v>
      </c>
      <c r="M582" s="37">
        <f ca="1">(RANDBETWEEN($E$14,$F$14)*$M$9)+$M$10+$M$18</f>
        <v>1043245.7659826493</v>
      </c>
      <c r="N582" s="37">
        <f t="shared" ref="N582" ca="1" si="547">NPV($E$23+$F$23,H582:M582)+$H$4</f>
        <v>1305984.8491010414</v>
      </c>
    </row>
    <row r="583" spans="4:17" x14ac:dyDescent="0.25">
      <c r="D583" s="33"/>
      <c r="E583" s="33">
        <v>553</v>
      </c>
      <c r="F583" s="37"/>
      <c r="G583" s="37"/>
      <c r="H583" s="37">
        <f t="shared" si="505"/>
        <v>868800</v>
      </c>
      <c r="I583" s="37">
        <f ca="1">(RANDBETWEEN($E$14,$F$14)*$I$9)+$I$10+$I$18</f>
        <v>-369472.96408399101</v>
      </c>
      <c r="J583" s="37">
        <f ca="1">(RANDBETWEEN($E$14,$F$14)*$J$9)+$J$10+$J$18</f>
        <v>-9238.8910066427197</v>
      </c>
      <c r="K583" s="37">
        <f ca="1">(RANDBETWEEN($E$14,$F$14)*$K$9)+$K$10+$K$18</f>
        <v>24363.532183028292</v>
      </c>
      <c r="L583" s="37">
        <f ca="1">(RANDBETWEEN($E$14,$F$14)*$L$9)+$L$10+$L$18</f>
        <v>671221.40421803342</v>
      </c>
      <c r="M583" s="37">
        <f ca="1">(RANDBETWEEN($E$14,$F$14)*$M$9)+$M$10+$M$18</f>
        <v>1043245.7659826493</v>
      </c>
      <c r="N583" s="37">
        <f t="shared" ref="N583" ca="1" si="548">NPV($E$23+$F$23,H583:M583)+$H$4</f>
        <v>749156.32506325236</v>
      </c>
    </row>
    <row r="584" spans="4:17" x14ac:dyDescent="0.25">
      <c r="D584" s="33"/>
      <c r="E584" s="33">
        <v>554</v>
      </c>
      <c r="F584" s="37"/>
      <c r="G584" s="37"/>
      <c r="H584" s="37">
        <f t="shared" si="505"/>
        <v>868800</v>
      </c>
      <c r="I584" s="37">
        <f ca="1">(RANDBETWEEN($E$14,$F$14)*$I$9)+$I$10+$I$18</f>
        <v>-369472.96408399101</v>
      </c>
      <c r="J584" s="37">
        <f ca="1">(RANDBETWEEN($E$14,$F$14)*$J$9)+$J$10+$J$18</f>
        <v>221933.48456383706</v>
      </c>
      <c r="K584" s="37">
        <f ca="1">(RANDBETWEEN($E$14,$F$14)*$K$9)+$K$10+$K$18</f>
        <v>24363.532183028292</v>
      </c>
      <c r="L584" s="37">
        <f ca="1">(RANDBETWEEN($E$14,$F$14)*$L$9)+$L$10+$L$18</f>
        <v>999716.39339203853</v>
      </c>
      <c r="M584" s="37">
        <f ca="1">(RANDBETWEEN($E$14,$F$14)*$M$9)+$M$10+$M$18</f>
        <v>1043245.7659826493</v>
      </c>
      <c r="N584" s="37">
        <f t="shared" ref="N584" ca="1" si="549">NPV($E$23+$F$23,H584:M584)+$H$4</f>
        <v>1206236.1343944785</v>
      </c>
      <c r="Q584" s="37"/>
    </row>
    <row r="585" spans="4:17" x14ac:dyDescent="0.25">
      <c r="D585" s="33"/>
      <c r="E585" s="33">
        <v>555</v>
      </c>
      <c r="F585" s="37"/>
      <c r="G585" s="37"/>
      <c r="H585" s="37">
        <f t="shared" si="505"/>
        <v>868800</v>
      </c>
      <c r="I585" s="37">
        <f ca="1">(RANDBETWEEN($E$14,$F$14)*$I$9)+$I$10+$I$18</f>
        <v>-369472.96408399101</v>
      </c>
      <c r="J585" s="37">
        <f ca="1">(RANDBETWEEN($E$14,$F$14)*$J$9)+$J$10+$J$18</f>
        <v>-9238.8910066427197</v>
      </c>
      <c r="K585" s="37">
        <f ca="1">(RANDBETWEEN($E$14,$F$14)*$K$9)+$K$10+$K$18</f>
        <v>24363.532183028292</v>
      </c>
      <c r="L585" s="37">
        <f ca="1">(RANDBETWEEN($E$14,$F$14)*$L$9)+$L$10+$L$18</f>
        <v>671221.40421803342</v>
      </c>
      <c r="M585" s="37">
        <f ca="1">(RANDBETWEEN($E$14,$F$14)*$M$9)+$M$10+$M$18</f>
        <v>1424944.0925515993</v>
      </c>
      <c r="N585" s="37">
        <f t="shared" ref="N585" ca="1" si="550">NPV($E$23+$F$23,H585:M585)+$H$4</f>
        <v>1033985.4932194382</v>
      </c>
      <c r="Q585" s="37"/>
    </row>
    <row r="586" spans="4:17" x14ac:dyDescent="0.25">
      <c r="D586" s="33"/>
      <c r="E586" s="33">
        <v>556</v>
      </c>
      <c r="F586" s="37"/>
      <c r="G586" s="37"/>
      <c r="H586" s="37">
        <f t="shared" si="505"/>
        <v>868800</v>
      </c>
      <c r="I586" s="37">
        <f ca="1">(RANDBETWEEN($E$14,$F$14)*$I$9)+$I$10+$I$18</f>
        <v>-369472.96408399101</v>
      </c>
      <c r="J586" s="37">
        <f ca="1">(RANDBETWEEN($E$14,$F$14)*$J$9)+$J$10+$J$18</f>
        <v>221933.48456383706</v>
      </c>
      <c r="K586" s="37">
        <f ca="1">(RANDBETWEEN($E$14,$F$14)*$K$9)+$K$10+$K$18</f>
        <v>24363.532183028292</v>
      </c>
      <c r="L586" s="37">
        <f ca="1">(RANDBETWEEN($E$14,$F$14)*$L$9)+$L$10+$L$18</f>
        <v>999716.39339203853</v>
      </c>
      <c r="M586" s="37">
        <f ca="1">(RANDBETWEEN($E$14,$F$14)*$M$9)+$M$10+$M$18</f>
        <v>1424944.0925515993</v>
      </c>
      <c r="N586" s="37">
        <f t="shared" ref="N586" ca="1" si="551">NPV($E$23+$F$23,H586:M586)+$H$4</f>
        <v>1491065.3025506642</v>
      </c>
    </row>
    <row r="587" spans="4:17" x14ac:dyDescent="0.25">
      <c r="D587" s="33"/>
      <c r="E587" s="33">
        <v>557</v>
      </c>
      <c r="F587" s="37"/>
      <c r="G587" s="37"/>
      <c r="H587" s="37">
        <f t="shared" si="505"/>
        <v>868800</v>
      </c>
      <c r="I587" s="37">
        <f ca="1">(RANDBETWEEN($E$14,$F$14)*$I$9)+$I$10+$I$18</f>
        <v>-369472.96408399101</v>
      </c>
      <c r="J587" s="37">
        <f ca="1">(RANDBETWEEN($E$14,$F$14)*$J$9)+$J$10+$J$18</f>
        <v>221933.48456383706</v>
      </c>
      <c r="K587" s="37">
        <f ca="1">(RANDBETWEEN($E$14,$F$14)*$K$9)+$K$10+$K$18</f>
        <v>24363.532183028292</v>
      </c>
      <c r="L587" s="37">
        <f ca="1">(RANDBETWEEN($E$14,$F$14)*$L$9)+$L$10+$L$18</f>
        <v>671221.40421803342</v>
      </c>
      <c r="M587" s="37">
        <f ca="1">(RANDBETWEEN($E$14,$F$14)*$M$9)+$M$10+$M$18</f>
        <v>1424944.0925515993</v>
      </c>
      <c r="N587" s="37">
        <f t="shared" ref="N587" ca="1" si="552">NPV($E$23+$F$23,H587:M587)+$H$4</f>
        <v>1233680.8829790577</v>
      </c>
    </row>
    <row r="588" spans="4:17" x14ac:dyDescent="0.25">
      <c r="D588" s="33"/>
      <c r="E588" s="33">
        <v>558</v>
      </c>
      <c r="F588" s="37"/>
      <c r="G588" s="37"/>
      <c r="H588" s="37">
        <f t="shared" si="505"/>
        <v>868800</v>
      </c>
      <c r="I588" s="37">
        <f ca="1">(RANDBETWEEN($E$14,$F$14)*$I$9)+$I$10+$I$18</f>
        <v>-369472.96408399101</v>
      </c>
      <c r="J588" s="37">
        <f ca="1">(RANDBETWEEN($E$14,$F$14)*$J$9)+$J$10+$J$18</f>
        <v>-9238.8910066427197</v>
      </c>
      <c r="K588" s="37">
        <f ca="1">(RANDBETWEEN($E$14,$F$14)*$K$9)+$K$10+$K$18</f>
        <v>24363.532183028292</v>
      </c>
      <c r="L588" s="37">
        <f ca="1">(RANDBETWEEN($E$14,$F$14)*$L$9)+$L$10+$L$18</f>
        <v>671221.40421803342</v>
      </c>
      <c r="M588" s="37">
        <f ca="1">(RANDBETWEEN($E$14,$F$14)*$M$9)+$M$10+$M$18</f>
        <v>1043245.7659826493</v>
      </c>
      <c r="N588" s="37">
        <f t="shared" ref="N588" ca="1" si="553">NPV($E$23+$F$23,H588:M588)+$H$4</f>
        <v>749156.32506325236</v>
      </c>
    </row>
    <row r="589" spans="4:17" x14ac:dyDescent="0.25">
      <c r="D589" s="33"/>
      <c r="E589" s="33">
        <v>559</v>
      </c>
      <c r="F589" s="37"/>
      <c r="G589" s="37"/>
      <c r="H589" s="37">
        <f t="shared" si="505"/>
        <v>868800</v>
      </c>
      <c r="I589" s="37">
        <f ca="1">(RANDBETWEEN($E$14,$F$14)*$I$9)+$I$10+$I$18</f>
        <v>-189819.59895313275</v>
      </c>
      <c r="J589" s="37">
        <f ca="1">(RANDBETWEEN($E$14,$F$14)*$J$9)+$J$10+$J$18</f>
        <v>-9238.8910066427197</v>
      </c>
      <c r="K589" s="37">
        <f ca="1">(RANDBETWEEN($E$14,$F$14)*$K$9)+$K$10+$K$18</f>
        <v>260393.25392346107</v>
      </c>
      <c r="L589" s="37">
        <f ca="1">(RANDBETWEEN($E$14,$F$14)*$L$9)+$L$10+$L$18</f>
        <v>671221.40421803342</v>
      </c>
      <c r="M589" s="37">
        <f ca="1">(RANDBETWEEN($E$14,$F$14)*$M$9)+$M$10+$M$18</f>
        <v>1424944.0925515993</v>
      </c>
      <c r="N589" s="37">
        <f t="shared" ref="N589" ca="1" si="554">NPV($E$23+$F$23,H589:M589)+$H$4</f>
        <v>1391118.6274976074</v>
      </c>
    </row>
    <row r="590" spans="4:17" x14ac:dyDescent="0.25">
      <c r="D590" s="33"/>
      <c r="E590" s="33">
        <v>560</v>
      </c>
      <c r="F590" s="37"/>
      <c r="G590" s="37"/>
      <c r="H590" s="37">
        <f t="shared" si="505"/>
        <v>868800</v>
      </c>
      <c r="I590" s="37">
        <f ca="1">(RANDBETWEEN($E$14,$F$14)*$I$9)+$I$10+$I$18</f>
        <v>-189819.59895313275</v>
      </c>
      <c r="J590" s="37">
        <f ca="1">(RANDBETWEEN($E$14,$F$14)*$J$9)+$J$10+$J$18</f>
        <v>-9238.8910066427197</v>
      </c>
      <c r="K590" s="37">
        <f ca="1">(RANDBETWEEN($E$14,$F$14)*$K$9)+$K$10+$K$18</f>
        <v>24363.532183028292</v>
      </c>
      <c r="L590" s="37">
        <f ca="1">(RANDBETWEEN($E$14,$F$14)*$L$9)+$L$10+$L$18</f>
        <v>999716.39339203853</v>
      </c>
      <c r="M590" s="37">
        <f ca="1">(RANDBETWEEN($E$14,$F$14)*$M$9)+$M$10+$M$18</f>
        <v>1043245.7659826493</v>
      </c>
      <c r="N590" s="37">
        <f t="shared" ref="N590" ca="1" si="555">NPV($E$23+$F$23,H590:M590)+$H$4</f>
        <v>1169491.6427127346</v>
      </c>
    </row>
    <row r="591" spans="4:17" x14ac:dyDescent="0.25">
      <c r="D591" s="33"/>
      <c r="E591" s="33">
        <v>561</v>
      </c>
      <c r="F591" s="37"/>
      <c r="G591" s="37"/>
      <c r="H591" s="37">
        <f t="shared" si="505"/>
        <v>868800</v>
      </c>
      <c r="I591" s="37">
        <f ca="1">(RANDBETWEEN($E$14,$F$14)*$I$9)+$I$10+$I$18</f>
        <v>-189819.59895313275</v>
      </c>
      <c r="J591" s="37">
        <f ca="1">(RANDBETWEEN($E$14,$F$14)*$J$9)+$J$10+$J$18</f>
        <v>221933.48456383706</v>
      </c>
      <c r="K591" s="37">
        <f ca="1">(RANDBETWEEN($E$14,$F$14)*$K$9)+$K$10+$K$18</f>
        <v>260393.25392346107</v>
      </c>
      <c r="L591" s="37">
        <f ca="1">(RANDBETWEEN($E$14,$F$14)*$L$9)+$L$10+$L$18</f>
        <v>999716.39339203853</v>
      </c>
      <c r="M591" s="37">
        <f ca="1">(RANDBETWEEN($E$14,$F$14)*$M$9)+$M$10+$M$18</f>
        <v>1424944.0925515993</v>
      </c>
      <c r="N591" s="37">
        <f t="shared" ref="N591" ca="1" si="556">NPV($E$23+$F$23,H591:M591)+$H$4</f>
        <v>1848198.4368288331</v>
      </c>
    </row>
    <row r="592" spans="4:17" x14ac:dyDescent="0.25">
      <c r="D592" s="33"/>
      <c r="E592" s="33">
        <v>562</v>
      </c>
      <c r="F592" s="37"/>
      <c r="G592" s="37"/>
      <c r="H592" s="37">
        <f t="shared" si="505"/>
        <v>868800</v>
      </c>
      <c r="I592" s="37">
        <f ca="1">(RANDBETWEEN($E$14,$F$14)*$I$9)+$I$10+$I$18</f>
        <v>-369472.96408399101</v>
      </c>
      <c r="J592" s="37">
        <f ca="1">(RANDBETWEEN($E$14,$F$14)*$J$9)+$J$10+$J$18</f>
        <v>-9238.8910066427197</v>
      </c>
      <c r="K592" s="37">
        <f ca="1">(RANDBETWEEN($E$14,$F$14)*$K$9)+$K$10+$K$18</f>
        <v>260393.25392346107</v>
      </c>
      <c r="L592" s="37">
        <f ca="1">(RANDBETWEEN($E$14,$F$14)*$L$9)+$L$10+$L$18</f>
        <v>999716.39339203853</v>
      </c>
      <c r="M592" s="37">
        <f ca="1">(RANDBETWEEN($E$14,$F$14)*$M$9)+$M$10+$M$18</f>
        <v>1043245.7659826493</v>
      </c>
      <c r="N592" s="37">
        <f t="shared" ref="N592" ca="1" si="557">NPV($E$23+$F$23,H592:M592)+$H$4</f>
        <v>1200722.9808351514</v>
      </c>
      <c r="Q592" s="37"/>
    </row>
    <row r="593" spans="4:17" x14ac:dyDescent="0.25">
      <c r="D593" s="33"/>
      <c r="E593" s="33">
        <v>563</v>
      </c>
      <c r="F593" s="37"/>
      <c r="G593" s="37"/>
      <c r="H593" s="37">
        <f t="shared" si="505"/>
        <v>868800</v>
      </c>
      <c r="I593" s="37">
        <f ca="1">(RANDBETWEEN($E$14,$F$14)*$I$9)+$I$10+$I$18</f>
        <v>-189819.59895313275</v>
      </c>
      <c r="J593" s="37">
        <f ca="1">(RANDBETWEEN($E$14,$F$14)*$J$9)+$J$10+$J$18</f>
        <v>-9238.8910066427197</v>
      </c>
      <c r="K593" s="37">
        <f ca="1">(RANDBETWEEN($E$14,$F$14)*$K$9)+$K$10+$K$18</f>
        <v>24363.532183028292</v>
      </c>
      <c r="L593" s="37">
        <f ca="1">(RANDBETWEEN($E$14,$F$14)*$L$9)+$L$10+$L$18</f>
        <v>999716.39339203853</v>
      </c>
      <c r="M593" s="37">
        <f ca="1">(RANDBETWEEN($E$14,$F$14)*$M$9)+$M$10+$M$18</f>
        <v>1424944.0925515993</v>
      </c>
      <c r="N593" s="37">
        <f t="shared" ref="N593" ca="1" si="558">NPV($E$23+$F$23,H593:M593)+$H$4</f>
        <v>1454320.8108689203</v>
      </c>
    </row>
    <row r="594" spans="4:17" x14ac:dyDescent="0.25">
      <c r="D594" s="33"/>
      <c r="E594" s="33">
        <v>564</v>
      </c>
      <c r="F594" s="37"/>
      <c r="G594" s="37"/>
      <c r="H594" s="37">
        <f t="shared" si="505"/>
        <v>868800</v>
      </c>
      <c r="I594" s="37">
        <f ca="1">(RANDBETWEEN($E$14,$F$14)*$I$9)+$I$10+$I$18</f>
        <v>-189819.59895313275</v>
      </c>
      <c r="J594" s="37">
        <f ca="1">(RANDBETWEEN($E$14,$F$14)*$J$9)+$J$10+$J$18</f>
        <v>-9238.8910066427197</v>
      </c>
      <c r="K594" s="37">
        <f ca="1">(RANDBETWEEN($E$14,$F$14)*$K$9)+$K$10+$K$18</f>
        <v>260393.25392346107</v>
      </c>
      <c r="L594" s="37">
        <f ca="1">(RANDBETWEEN($E$14,$F$14)*$L$9)+$L$10+$L$18</f>
        <v>999716.39339203853</v>
      </c>
      <c r="M594" s="37">
        <f ca="1">(RANDBETWEEN($E$14,$F$14)*$M$9)+$M$10+$M$18</f>
        <v>1424944.0925515993</v>
      </c>
      <c r="N594" s="37">
        <f t="shared" ref="N594" ca="1" si="559">NPV($E$23+$F$23,H594:M594)+$H$4</f>
        <v>1648503.0470692138</v>
      </c>
    </row>
    <row r="595" spans="4:17" x14ac:dyDescent="0.25">
      <c r="D595" s="33"/>
      <c r="E595" s="33">
        <v>565</v>
      </c>
      <c r="F595" s="37"/>
      <c r="G595" s="37"/>
      <c r="H595" s="37">
        <f t="shared" si="505"/>
        <v>868800</v>
      </c>
      <c r="I595" s="37">
        <f ca="1">(RANDBETWEEN($E$14,$F$14)*$I$9)+$I$10+$I$18</f>
        <v>-369472.96408399101</v>
      </c>
      <c r="J595" s="37">
        <f ca="1">(RANDBETWEEN($E$14,$F$14)*$J$9)+$J$10+$J$18</f>
        <v>-9238.8910066427197</v>
      </c>
      <c r="K595" s="37">
        <f ca="1">(RANDBETWEEN($E$14,$F$14)*$K$9)+$K$10+$K$18</f>
        <v>24363.532183028292</v>
      </c>
      <c r="L595" s="37">
        <f ca="1">(RANDBETWEEN($E$14,$F$14)*$L$9)+$L$10+$L$18</f>
        <v>999716.39339203853</v>
      </c>
      <c r="M595" s="37">
        <f ca="1">(RANDBETWEEN($E$14,$F$14)*$M$9)+$M$10+$M$18</f>
        <v>1043245.7659826493</v>
      </c>
      <c r="N595" s="37">
        <f t="shared" ref="N595" ca="1" si="560">NPV($E$23+$F$23,H595:M595)+$H$4</f>
        <v>1006540.7446348586</v>
      </c>
    </row>
    <row r="596" spans="4:17" x14ac:dyDescent="0.25">
      <c r="D596" s="33"/>
      <c r="E596" s="33">
        <v>566</v>
      </c>
      <c r="F596" s="37"/>
      <c r="G596" s="37"/>
      <c r="H596" s="37">
        <f t="shared" si="505"/>
        <v>868800</v>
      </c>
      <c r="I596" s="37">
        <f ca="1">(RANDBETWEEN($E$14,$F$14)*$I$9)+$I$10+$I$18</f>
        <v>-189819.59895313275</v>
      </c>
      <c r="J596" s="37">
        <f ca="1">(RANDBETWEEN($E$14,$F$14)*$J$9)+$J$10+$J$18</f>
        <v>-9238.8910066427197</v>
      </c>
      <c r="K596" s="37">
        <f ca="1">(RANDBETWEEN($E$14,$F$14)*$K$9)+$K$10+$K$18</f>
        <v>260393.25392346107</v>
      </c>
      <c r="L596" s="37">
        <f ca="1">(RANDBETWEEN($E$14,$F$14)*$L$9)+$L$10+$L$18</f>
        <v>671221.40421803342</v>
      </c>
      <c r="M596" s="37">
        <f ca="1">(RANDBETWEEN($E$14,$F$14)*$M$9)+$M$10+$M$18</f>
        <v>1424944.0925515993</v>
      </c>
      <c r="N596" s="37">
        <f t="shared" ref="N596" ca="1" si="561">NPV($E$23+$F$23,H596:M596)+$H$4</f>
        <v>1391118.6274976074</v>
      </c>
    </row>
    <row r="597" spans="4:17" x14ac:dyDescent="0.25">
      <c r="D597" s="33"/>
      <c r="E597" s="33">
        <v>567</v>
      </c>
      <c r="F597" s="37"/>
      <c r="G597" s="37"/>
      <c r="H597" s="37">
        <f t="shared" si="505"/>
        <v>868800</v>
      </c>
      <c r="I597" s="37">
        <f ca="1">(RANDBETWEEN($E$14,$F$14)*$I$9)+$I$10+$I$18</f>
        <v>-189819.59895313275</v>
      </c>
      <c r="J597" s="37">
        <f ca="1">(RANDBETWEEN($E$14,$F$14)*$J$9)+$J$10+$J$18</f>
        <v>221933.48456383706</v>
      </c>
      <c r="K597" s="37">
        <f ca="1">(RANDBETWEEN($E$14,$F$14)*$K$9)+$K$10+$K$18</f>
        <v>260393.25392346107</v>
      </c>
      <c r="L597" s="37">
        <f ca="1">(RANDBETWEEN($E$14,$F$14)*$L$9)+$L$10+$L$18</f>
        <v>671221.40421803342</v>
      </c>
      <c r="M597" s="37">
        <f ca="1">(RANDBETWEEN($E$14,$F$14)*$M$9)+$M$10+$M$18</f>
        <v>1043245.7659826493</v>
      </c>
      <c r="N597" s="37">
        <f t="shared" ref="N597" ca="1" si="562">NPV($E$23+$F$23,H597:M597)+$H$4</f>
        <v>1305984.8491010414</v>
      </c>
      <c r="Q597" s="37"/>
    </row>
    <row r="598" spans="4:17" x14ac:dyDescent="0.25">
      <c r="D598" s="33"/>
      <c r="E598" s="33">
        <v>568</v>
      </c>
      <c r="F598" s="37"/>
      <c r="G598" s="37"/>
      <c r="H598" s="37">
        <f t="shared" si="505"/>
        <v>868800</v>
      </c>
      <c r="I598" s="37">
        <f ca="1">(RANDBETWEEN($E$14,$F$14)*$I$9)+$I$10+$I$18</f>
        <v>-189819.59895313275</v>
      </c>
      <c r="J598" s="37">
        <f ca="1">(RANDBETWEEN($E$14,$F$14)*$J$9)+$J$10+$J$18</f>
        <v>-9238.8910066427197</v>
      </c>
      <c r="K598" s="37">
        <f ca="1">(RANDBETWEEN($E$14,$F$14)*$K$9)+$K$10+$K$18</f>
        <v>24363.532183028292</v>
      </c>
      <c r="L598" s="37">
        <f ca="1">(RANDBETWEEN($E$14,$F$14)*$L$9)+$L$10+$L$18</f>
        <v>999716.39339203853</v>
      </c>
      <c r="M598" s="37">
        <f ca="1">(RANDBETWEEN($E$14,$F$14)*$M$9)+$M$10+$M$18</f>
        <v>1424944.0925515993</v>
      </c>
      <c r="N598" s="37">
        <f t="shared" ref="N598" ca="1" si="563">NPV($E$23+$F$23,H598:M598)+$H$4</f>
        <v>1454320.8108689203</v>
      </c>
    </row>
    <row r="599" spans="4:17" x14ac:dyDescent="0.25">
      <c r="D599" s="33"/>
      <c r="E599" s="33">
        <v>569</v>
      </c>
      <c r="F599" s="37"/>
      <c r="G599" s="37"/>
      <c r="H599" s="37">
        <f t="shared" si="505"/>
        <v>868800</v>
      </c>
      <c r="I599" s="37">
        <f ca="1">(RANDBETWEEN($E$14,$F$14)*$I$9)+$I$10+$I$18</f>
        <v>-189819.59895313275</v>
      </c>
      <c r="J599" s="37">
        <f ca="1">(RANDBETWEEN($E$14,$F$14)*$J$9)+$J$10+$J$18</f>
        <v>-9238.8910066427197</v>
      </c>
      <c r="K599" s="37">
        <f ca="1">(RANDBETWEEN($E$14,$F$14)*$K$9)+$K$10+$K$18</f>
        <v>260393.25392346107</v>
      </c>
      <c r="L599" s="37">
        <f ca="1">(RANDBETWEEN($E$14,$F$14)*$L$9)+$L$10+$L$18</f>
        <v>999716.39339203853</v>
      </c>
      <c r="M599" s="37">
        <f ca="1">(RANDBETWEEN($E$14,$F$14)*$M$9)+$M$10+$M$18</f>
        <v>1424944.0925515993</v>
      </c>
      <c r="N599" s="37">
        <f t="shared" ref="N599" ca="1" si="564">NPV($E$23+$F$23,H599:M599)+$H$4</f>
        <v>1648503.0470692138</v>
      </c>
    </row>
    <row r="600" spans="4:17" x14ac:dyDescent="0.25">
      <c r="D600" s="33"/>
      <c r="E600" s="33">
        <v>570</v>
      </c>
      <c r="F600" s="37"/>
      <c r="G600" s="37"/>
      <c r="H600" s="37">
        <f t="shared" si="505"/>
        <v>868800</v>
      </c>
      <c r="I600" s="37">
        <f ca="1">(RANDBETWEEN($E$14,$F$14)*$I$9)+$I$10+$I$18</f>
        <v>-369472.96408399101</v>
      </c>
      <c r="J600" s="37">
        <f ca="1">(RANDBETWEEN($E$14,$F$14)*$J$9)+$J$10+$J$18</f>
        <v>-9238.8910066427197</v>
      </c>
      <c r="K600" s="37">
        <f ca="1">(RANDBETWEEN($E$14,$F$14)*$K$9)+$K$10+$K$18</f>
        <v>260393.25392346107</v>
      </c>
      <c r="L600" s="37">
        <f ca="1">(RANDBETWEEN($E$14,$F$14)*$L$9)+$L$10+$L$18</f>
        <v>671221.40421803342</v>
      </c>
      <c r="M600" s="37">
        <f ca="1">(RANDBETWEEN($E$14,$F$14)*$M$9)+$M$10+$M$18</f>
        <v>1424944.0925515993</v>
      </c>
      <c r="N600" s="37">
        <f t="shared" ref="N600" ca="1" si="565">NPV($E$23+$F$23,H600:M600)+$H$4</f>
        <v>1228167.7294197315</v>
      </c>
    </row>
    <row r="601" spans="4:17" x14ac:dyDescent="0.25">
      <c r="D601" s="33"/>
      <c r="E601" s="33">
        <v>571</v>
      </c>
      <c r="F601" s="37"/>
      <c r="G601" s="37"/>
      <c r="H601" s="37">
        <f t="shared" si="505"/>
        <v>868800</v>
      </c>
      <c r="I601" s="37">
        <f ca="1">(RANDBETWEEN($E$14,$F$14)*$I$9)+$I$10+$I$18</f>
        <v>-369472.96408399101</v>
      </c>
      <c r="J601" s="37">
        <f ca="1">(RANDBETWEEN($E$14,$F$14)*$J$9)+$J$10+$J$18</f>
        <v>-9238.8910066427197</v>
      </c>
      <c r="K601" s="37">
        <f ca="1">(RANDBETWEEN($E$14,$F$14)*$K$9)+$K$10+$K$18</f>
        <v>24363.532183028292</v>
      </c>
      <c r="L601" s="37">
        <f ca="1">(RANDBETWEEN($E$14,$F$14)*$L$9)+$L$10+$L$18</f>
        <v>999716.39339203853</v>
      </c>
      <c r="M601" s="37">
        <f ca="1">(RANDBETWEEN($E$14,$F$14)*$M$9)+$M$10+$M$18</f>
        <v>1424944.0925515993</v>
      </c>
      <c r="N601" s="37">
        <f t="shared" ref="N601" ca="1" si="566">NPV($E$23+$F$23,H601:M601)+$H$4</f>
        <v>1291369.9127910445</v>
      </c>
    </row>
    <row r="602" spans="4:17" x14ac:dyDescent="0.25">
      <c r="D602" s="33"/>
      <c r="E602" s="33">
        <v>572</v>
      </c>
      <c r="F602" s="37"/>
      <c r="G602" s="37"/>
      <c r="H602" s="37">
        <f t="shared" si="505"/>
        <v>868800</v>
      </c>
      <c r="I602" s="37">
        <f ca="1">(RANDBETWEEN($E$14,$F$14)*$I$9)+$I$10+$I$18</f>
        <v>-369472.96408399101</v>
      </c>
      <c r="J602" s="37">
        <f ca="1">(RANDBETWEEN($E$14,$F$14)*$J$9)+$J$10+$J$18</f>
        <v>221933.48456383706</v>
      </c>
      <c r="K602" s="37">
        <f ca="1">(RANDBETWEEN($E$14,$F$14)*$K$9)+$K$10+$K$18</f>
        <v>260393.25392346107</v>
      </c>
      <c r="L602" s="37">
        <f ca="1">(RANDBETWEEN($E$14,$F$14)*$L$9)+$L$10+$L$18</f>
        <v>671221.40421803342</v>
      </c>
      <c r="M602" s="37">
        <f ca="1">(RANDBETWEEN($E$14,$F$14)*$M$9)+$M$10+$M$18</f>
        <v>1043245.7659826493</v>
      </c>
      <c r="N602" s="37">
        <f t="shared" ref="N602" ca="1" si="567">NPV($E$23+$F$23,H602:M602)+$H$4</f>
        <v>1143033.9510231656</v>
      </c>
    </row>
    <row r="603" spans="4:17" x14ac:dyDescent="0.25">
      <c r="D603" s="33"/>
      <c r="E603" s="33">
        <v>573</v>
      </c>
      <c r="F603" s="37"/>
      <c r="G603" s="37"/>
      <c r="H603" s="37">
        <f t="shared" si="505"/>
        <v>868800</v>
      </c>
      <c r="I603" s="37">
        <f ca="1">(RANDBETWEEN($E$14,$F$14)*$I$9)+$I$10+$I$18</f>
        <v>-369472.96408399101</v>
      </c>
      <c r="J603" s="37">
        <f ca="1">(RANDBETWEEN($E$14,$F$14)*$J$9)+$J$10+$J$18</f>
        <v>-9238.8910066427197</v>
      </c>
      <c r="K603" s="37">
        <f ca="1">(RANDBETWEEN($E$14,$F$14)*$K$9)+$K$10+$K$18</f>
        <v>24363.532183028292</v>
      </c>
      <c r="L603" s="37">
        <f ca="1">(RANDBETWEEN($E$14,$F$14)*$L$9)+$L$10+$L$18</f>
        <v>671221.40421803342</v>
      </c>
      <c r="M603" s="37">
        <f ca="1">(RANDBETWEEN($E$14,$F$14)*$M$9)+$M$10+$M$18</f>
        <v>1424944.0925515993</v>
      </c>
      <c r="N603" s="37">
        <f t="shared" ref="N603" ca="1" si="568">NPV($E$23+$F$23,H603:M603)+$H$4</f>
        <v>1033985.4932194382</v>
      </c>
    </row>
    <row r="604" spans="4:17" x14ac:dyDescent="0.25">
      <c r="D604" s="33"/>
      <c r="E604" s="33">
        <v>574</v>
      </c>
      <c r="F604" s="37"/>
      <c r="G604" s="37"/>
      <c r="H604" s="37">
        <f t="shared" si="505"/>
        <v>868800</v>
      </c>
      <c r="I604" s="37">
        <f ca="1">(RANDBETWEEN($E$14,$F$14)*$I$9)+$I$10+$I$18</f>
        <v>-369472.96408399101</v>
      </c>
      <c r="J604" s="37">
        <f ca="1">(RANDBETWEEN($E$14,$F$14)*$J$9)+$J$10+$J$18</f>
        <v>221933.48456383706</v>
      </c>
      <c r="K604" s="37">
        <f ca="1">(RANDBETWEEN($E$14,$F$14)*$K$9)+$K$10+$K$18</f>
        <v>24363.532183028292</v>
      </c>
      <c r="L604" s="37">
        <f ca="1">(RANDBETWEEN($E$14,$F$14)*$L$9)+$L$10+$L$18</f>
        <v>671221.40421803342</v>
      </c>
      <c r="M604" s="37">
        <f ca="1">(RANDBETWEEN($E$14,$F$14)*$M$9)+$M$10+$M$18</f>
        <v>1424944.0925515993</v>
      </c>
      <c r="N604" s="37">
        <f t="shared" ref="N604" ca="1" si="569">NPV($E$23+$F$23,H604:M604)+$H$4</f>
        <v>1233680.8829790577</v>
      </c>
      <c r="Q604" s="37"/>
    </row>
    <row r="605" spans="4:17" x14ac:dyDescent="0.25">
      <c r="D605" s="33"/>
      <c r="E605" s="33">
        <v>575</v>
      </c>
      <c r="F605" s="37"/>
      <c r="G605" s="37"/>
      <c r="H605" s="37">
        <f t="shared" si="505"/>
        <v>868800</v>
      </c>
      <c r="I605" s="37">
        <f ca="1">(RANDBETWEEN($E$14,$F$14)*$I$9)+$I$10+$I$18</f>
        <v>-189819.59895313275</v>
      </c>
      <c r="J605" s="37">
        <f ca="1">(RANDBETWEEN($E$14,$F$14)*$J$9)+$J$10+$J$18</f>
        <v>-9238.8910066427197</v>
      </c>
      <c r="K605" s="37">
        <f ca="1">(RANDBETWEEN($E$14,$F$14)*$K$9)+$K$10+$K$18</f>
        <v>24363.532183028292</v>
      </c>
      <c r="L605" s="37">
        <f ca="1">(RANDBETWEEN($E$14,$F$14)*$L$9)+$L$10+$L$18</f>
        <v>671221.40421803342</v>
      </c>
      <c r="M605" s="37">
        <f ca="1">(RANDBETWEEN($E$14,$F$14)*$M$9)+$M$10+$M$18</f>
        <v>1043245.7659826493</v>
      </c>
      <c r="N605" s="37">
        <f t="shared" ref="N605" ca="1" si="570">NPV($E$23+$F$23,H605:M605)+$H$4</f>
        <v>912107.22314112843</v>
      </c>
      <c r="Q605" s="37"/>
    </row>
    <row r="606" spans="4:17" x14ac:dyDescent="0.25">
      <c r="D606" s="33"/>
      <c r="E606" s="33">
        <v>576</v>
      </c>
      <c r="F606" s="37"/>
      <c r="G606" s="37"/>
      <c r="H606" s="37">
        <f t="shared" si="505"/>
        <v>868800</v>
      </c>
      <c r="I606" s="37">
        <f ca="1">(RANDBETWEEN($E$14,$F$14)*$I$9)+$I$10+$I$18</f>
        <v>-189819.59895313275</v>
      </c>
      <c r="J606" s="37">
        <f ca="1">(RANDBETWEEN($E$14,$F$14)*$J$9)+$J$10+$J$18</f>
        <v>-9238.8910066427197</v>
      </c>
      <c r="K606" s="37">
        <f ca="1">(RANDBETWEEN($E$14,$F$14)*$K$9)+$K$10+$K$18</f>
        <v>24363.532183028292</v>
      </c>
      <c r="L606" s="37">
        <f ca="1">(RANDBETWEEN($E$14,$F$14)*$L$9)+$L$10+$L$18</f>
        <v>999716.39339203853</v>
      </c>
      <c r="M606" s="37">
        <f ca="1">(RANDBETWEEN($E$14,$F$14)*$M$9)+$M$10+$M$18</f>
        <v>1043245.7659826493</v>
      </c>
      <c r="N606" s="37">
        <f t="shared" ref="N606" ca="1" si="571">NPV($E$23+$F$23,H606:M606)+$H$4</f>
        <v>1169491.6427127346</v>
      </c>
    </row>
    <row r="607" spans="4:17" x14ac:dyDescent="0.25">
      <c r="D607" s="33"/>
      <c r="E607" s="33">
        <v>577</v>
      </c>
      <c r="F607" s="37"/>
      <c r="G607" s="37"/>
      <c r="H607" s="37">
        <f t="shared" si="505"/>
        <v>868800</v>
      </c>
      <c r="I607" s="37">
        <f ca="1">(RANDBETWEEN($E$14,$F$14)*$I$9)+$I$10+$I$18</f>
        <v>-369472.96408399101</v>
      </c>
      <c r="J607" s="37">
        <f ca="1">(RANDBETWEEN($E$14,$F$14)*$J$9)+$J$10+$J$18</f>
        <v>221933.48456383706</v>
      </c>
      <c r="K607" s="37">
        <f ca="1">(RANDBETWEEN($E$14,$F$14)*$K$9)+$K$10+$K$18</f>
        <v>24363.532183028292</v>
      </c>
      <c r="L607" s="37">
        <f ca="1">(RANDBETWEEN($E$14,$F$14)*$L$9)+$L$10+$L$18</f>
        <v>671221.40421803342</v>
      </c>
      <c r="M607" s="37">
        <f ca="1">(RANDBETWEEN($E$14,$F$14)*$M$9)+$M$10+$M$18</f>
        <v>1424944.0925515993</v>
      </c>
      <c r="N607" s="37">
        <f t="shared" ref="N607" ca="1" si="572">NPV($E$23+$F$23,H607:M607)+$H$4</f>
        <v>1233680.8829790577</v>
      </c>
    </row>
    <row r="608" spans="4:17" x14ac:dyDescent="0.25">
      <c r="D608" s="33"/>
      <c r="E608" s="33">
        <v>578</v>
      </c>
      <c r="F608" s="37"/>
      <c r="G608" s="37"/>
      <c r="H608" s="37">
        <f t="shared" si="505"/>
        <v>868800</v>
      </c>
      <c r="I608" s="37">
        <f ca="1">(RANDBETWEEN($E$14,$F$14)*$I$9)+$I$10+$I$18</f>
        <v>-189819.59895313275</v>
      </c>
      <c r="J608" s="37">
        <f ca="1">(RANDBETWEEN($E$14,$F$14)*$J$9)+$J$10+$J$18</f>
        <v>221933.48456383706</v>
      </c>
      <c r="K608" s="37">
        <f ca="1">(RANDBETWEEN($E$14,$F$14)*$K$9)+$K$10+$K$18</f>
        <v>260393.25392346107</v>
      </c>
      <c r="L608" s="37">
        <f ca="1">(RANDBETWEEN($E$14,$F$14)*$L$9)+$L$10+$L$18</f>
        <v>671221.40421803342</v>
      </c>
      <c r="M608" s="37">
        <f ca="1">(RANDBETWEEN($E$14,$F$14)*$M$9)+$M$10+$M$18</f>
        <v>1043245.7659826493</v>
      </c>
      <c r="N608" s="37">
        <f t="shared" ref="N608" ca="1" si="573">NPV($E$23+$F$23,H608:M608)+$H$4</f>
        <v>1305984.8491010414</v>
      </c>
    </row>
    <row r="609" spans="4:17" x14ac:dyDescent="0.25">
      <c r="D609" s="33"/>
      <c r="E609" s="33">
        <v>579</v>
      </c>
      <c r="F609" s="37"/>
      <c r="G609" s="37"/>
      <c r="H609" s="37">
        <f t="shared" si="505"/>
        <v>868800</v>
      </c>
      <c r="I609" s="37">
        <f ca="1">(RANDBETWEEN($E$14,$F$14)*$I$9)+$I$10+$I$18</f>
        <v>-189819.59895313275</v>
      </c>
      <c r="J609" s="37">
        <f ca="1">(RANDBETWEEN($E$14,$F$14)*$J$9)+$J$10+$J$18</f>
        <v>-9238.8910066427197</v>
      </c>
      <c r="K609" s="37">
        <f ca="1">(RANDBETWEEN($E$14,$F$14)*$K$9)+$K$10+$K$18</f>
        <v>260393.25392346107</v>
      </c>
      <c r="L609" s="37">
        <f ca="1">(RANDBETWEEN($E$14,$F$14)*$L$9)+$L$10+$L$18</f>
        <v>999716.39339203853</v>
      </c>
      <c r="M609" s="37">
        <f ca="1">(RANDBETWEEN($E$14,$F$14)*$M$9)+$M$10+$M$18</f>
        <v>1043245.7659826493</v>
      </c>
      <c r="N609" s="37">
        <f t="shared" ref="N609" ca="1" si="574">NPV($E$23+$F$23,H609:M609)+$H$4</f>
        <v>1363673.8789130282</v>
      </c>
    </row>
    <row r="610" spans="4:17" x14ac:dyDescent="0.25">
      <c r="D610" s="33"/>
      <c r="E610" s="33">
        <v>580</v>
      </c>
      <c r="F610" s="37"/>
      <c r="G610" s="37"/>
      <c r="H610" s="37">
        <f t="shared" si="505"/>
        <v>868800</v>
      </c>
      <c r="I610" s="37">
        <f ca="1">(RANDBETWEEN($E$14,$F$14)*$I$9)+$I$10+$I$18</f>
        <v>-189819.59895313275</v>
      </c>
      <c r="J610" s="37">
        <f ca="1">(RANDBETWEEN($E$14,$F$14)*$J$9)+$J$10+$J$18</f>
        <v>221933.48456383706</v>
      </c>
      <c r="K610" s="37">
        <f ca="1">(RANDBETWEEN($E$14,$F$14)*$K$9)+$K$10+$K$18</f>
        <v>24363.532183028292</v>
      </c>
      <c r="L610" s="37">
        <f ca="1">(RANDBETWEEN($E$14,$F$14)*$L$9)+$L$10+$L$18</f>
        <v>671221.40421803342</v>
      </c>
      <c r="M610" s="37">
        <f ca="1">(RANDBETWEEN($E$14,$F$14)*$M$9)+$M$10+$M$18</f>
        <v>1424944.0925515993</v>
      </c>
      <c r="N610" s="37">
        <f t="shared" ref="N610" ca="1" si="575">NPV($E$23+$F$23,H610:M610)+$H$4</f>
        <v>1396631.7810569336</v>
      </c>
    </row>
    <row r="611" spans="4:17" x14ac:dyDescent="0.25">
      <c r="D611" s="33"/>
      <c r="E611" s="33">
        <v>581</v>
      </c>
      <c r="F611" s="37"/>
      <c r="G611" s="37"/>
      <c r="H611" s="37">
        <f t="shared" si="505"/>
        <v>868800</v>
      </c>
      <c r="I611" s="37">
        <f ca="1">(RANDBETWEEN($E$14,$F$14)*$I$9)+$I$10+$I$18</f>
        <v>-369472.96408399101</v>
      </c>
      <c r="J611" s="37">
        <f ca="1">(RANDBETWEEN($E$14,$F$14)*$J$9)+$J$10+$J$18</f>
        <v>-9238.8910066427197</v>
      </c>
      <c r="K611" s="37">
        <f ca="1">(RANDBETWEEN($E$14,$F$14)*$K$9)+$K$10+$K$18</f>
        <v>260393.25392346107</v>
      </c>
      <c r="L611" s="37">
        <f ca="1">(RANDBETWEEN($E$14,$F$14)*$L$9)+$L$10+$L$18</f>
        <v>999716.39339203853</v>
      </c>
      <c r="M611" s="37">
        <f ca="1">(RANDBETWEEN($E$14,$F$14)*$M$9)+$M$10+$M$18</f>
        <v>1424944.0925515993</v>
      </c>
      <c r="N611" s="37">
        <f t="shared" ref="N611" ca="1" si="576">NPV($E$23+$F$23,H611:M611)+$H$4</f>
        <v>1485552.1489913375</v>
      </c>
    </row>
    <row r="612" spans="4:17" x14ac:dyDescent="0.25">
      <c r="D612" s="33"/>
      <c r="E612" s="33">
        <v>582</v>
      </c>
      <c r="F612" s="37"/>
      <c r="G612" s="37"/>
      <c r="H612" s="37">
        <f t="shared" si="505"/>
        <v>868800</v>
      </c>
      <c r="I612" s="37">
        <f ca="1">(RANDBETWEEN($E$14,$F$14)*$I$9)+$I$10+$I$18</f>
        <v>-189819.59895313275</v>
      </c>
      <c r="J612" s="37">
        <f ca="1">(RANDBETWEEN($E$14,$F$14)*$J$9)+$J$10+$J$18</f>
        <v>-9238.8910066427197</v>
      </c>
      <c r="K612" s="37">
        <f ca="1">(RANDBETWEEN($E$14,$F$14)*$K$9)+$K$10+$K$18</f>
        <v>260393.25392346107</v>
      </c>
      <c r="L612" s="37">
        <f ca="1">(RANDBETWEEN($E$14,$F$14)*$L$9)+$L$10+$L$18</f>
        <v>671221.40421803342</v>
      </c>
      <c r="M612" s="37">
        <f ca="1">(RANDBETWEEN($E$14,$F$14)*$M$9)+$M$10+$M$18</f>
        <v>1424944.0925515993</v>
      </c>
      <c r="N612" s="37">
        <f t="shared" ref="N612" ca="1" si="577">NPV($E$23+$F$23,H612:M612)+$H$4</f>
        <v>1391118.6274976074</v>
      </c>
    </row>
    <row r="613" spans="4:17" x14ac:dyDescent="0.25">
      <c r="D613" s="33"/>
      <c r="E613" s="33">
        <v>583</v>
      </c>
      <c r="F613" s="37"/>
      <c r="G613" s="37"/>
      <c r="H613" s="37">
        <f t="shared" si="505"/>
        <v>868800</v>
      </c>
      <c r="I613" s="37">
        <f ca="1">(RANDBETWEEN($E$14,$F$14)*$I$9)+$I$10+$I$18</f>
        <v>-369472.96408399101</v>
      </c>
      <c r="J613" s="37">
        <f ca="1">(RANDBETWEEN($E$14,$F$14)*$J$9)+$J$10+$J$18</f>
        <v>-9238.8910066427197</v>
      </c>
      <c r="K613" s="37">
        <f ca="1">(RANDBETWEEN($E$14,$F$14)*$K$9)+$K$10+$K$18</f>
        <v>24363.532183028292</v>
      </c>
      <c r="L613" s="37">
        <f ca="1">(RANDBETWEEN($E$14,$F$14)*$L$9)+$L$10+$L$18</f>
        <v>671221.40421803342</v>
      </c>
      <c r="M613" s="37">
        <f ca="1">(RANDBETWEEN($E$14,$F$14)*$M$9)+$M$10+$M$18</f>
        <v>1043245.7659826493</v>
      </c>
      <c r="N613" s="37">
        <f t="shared" ref="N613" ca="1" si="578">NPV($E$23+$F$23,H613:M613)+$H$4</f>
        <v>749156.32506325236</v>
      </c>
    </row>
    <row r="614" spans="4:17" x14ac:dyDescent="0.25">
      <c r="D614" s="33"/>
      <c r="E614" s="33">
        <v>584</v>
      </c>
      <c r="F614" s="37"/>
      <c r="G614" s="37"/>
      <c r="H614" s="37">
        <f t="shared" si="505"/>
        <v>868800</v>
      </c>
      <c r="I614" s="37">
        <f ca="1">(RANDBETWEEN($E$14,$F$14)*$I$9)+$I$10+$I$18</f>
        <v>-189819.59895313275</v>
      </c>
      <c r="J614" s="37">
        <f ca="1">(RANDBETWEEN($E$14,$F$14)*$J$9)+$J$10+$J$18</f>
        <v>221933.48456383706</v>
      </c>
      <c r="K614" s="37">
        <f ca="1">(RANDBETWEEN($E$14,$F$14)*$K$9)+$K$10+$K$18</f>
        <v>24363.532183028292</v>
      </c>
      <c r="L614" s="37">
        <f ca="1">(RANDBETWEEN($E$14,$F$14)*$L$9)+$L$10+$L$18</f>
        <v>999716.39339203853</v>
      </c>
      <c r="M614" s="37">
        <f ca="1">(RANDBETWEEN($E$14,$F$14)*$M$9)+$M$10+$M$18</f>
        <v>1043245.7659826493</v>
      </c>
      <c r="N614" s="37">
        <f t="shared" ref="N614" ca="1" si="579">NPV($E$23+$F$23,H614:M614)+$H$4</f>
        <v>1369187.0324723539</v>
      </c>
    </row>
    <row r="615" spans="4:17" x14ac:dyDescent="0.25">
      <c r="D615" s="33"/>
      <c r="E615" s="33">
        <v>585</v>
      </c>
      <c r="F615" s="37"/>
      <c r="G615" s="37"/>
      <c r="H615" s="37">
        <f t="shared" si="505"/>
        <v>868800</v>
      </c>
      <c r="I615" s="37">
        <f ca="1">(RANDBETWEEN($E$14,$F$14)*$I$9)+$I$10+$I$18</f>
        <v>-189819.59895313275</v>
      </c>
      <c r="J615" s="37">
        <f ca="1">(RANDBETWEEN($E$14,$F$14)*$J$9)+$J$10+$J$18</f>
        <v>-9238.8910066427197</v>
      </c>
      <c r="K615" s="37">
        <f ca="1">(RANDBETWEEN($E$14,$F$14)*$K$9)+$K$10+$K$18</f>
        <v>260393.25392346107</v>
      </c>
      <c r="L615" s="37">
        <f ca="1">(RANDBETWEEN($E$14,$F$14)*$L$9)+$L$10+$L$18</f>
        <v>671221.40421803342</v>
      </c>
      <c r="M615" s="37">
        <f ca="1">(RANDBETWEEN($E$14,$F$14)*$M$9)+$M$10+$M$18</f>
        <v>1424944.0925515993</v>
      </c>
      <c r="N615" s="37">
        <f t="shared" ref="N615" ca="1" si="580">NPV($E$23+$F$23,H615:M615)+$H$4</f>
        <v>1391118.6274976074</v>
      </c>
    </row>
    <row r="616" spans="4:17" x14ac:dyDescent="0.25">
      <c r="D616" s="33"/>
      <c r="E616" s="33">
        <v>586</v>
      </c>
      <c r="F616" s="37"/>
      <c r="G616" s="37"/>
      <c r="H616" s="37">
        <f t="shared" si="505"/>
        <v>868800</v>
      </c>
      <c r="I616" s="37">
        <f ca="1">(RANDBETWEEN($E$14,$F$14)*$I$9)+$I$10+$I$18</f>
        <v>-369472.96408399101</v>
      </c>
      <c r="J616" s="37">
        <f ca="1">(RANDBETWEEN($E$14,$F$14)*$J$9)+$J$10+$J$18</f>
        <v>-9238.8910066427197</v>
      </c>
      <c r="K616" s="37">
        <f ca="1">(RANDBETWEEN($E$14,$F$14)*$K$9)+$K$10+$K$18</f>
        <v>260393.25392346107</v>
      </c>
      <c r="L616" s="37">
        <f ca="1">(RANDBETWEEN($E$14,$F$14)*$L$9)+$L$10+$L$18</f>
        <v>671221.40421803342</v>
      </c>
      <c r="M616" s="37">
        <f ca="1">(RANDBETWEEN($E$14,$F$14)*$M$9)+$M$10+$M$18</f>
        <v>1424944.0925515993</v>
      </c>
      <c r="N616" s="37">
        <f t="shared" ref="N616" ca="1" si="581">NPV($E$23+$F$23,H616:M616)+$H$4</f>
        <v>1228167.7294197315</v>
      </c>
    </row>
    <row r="617" spans="4:17" x14ac:dyDescent="0.25">
      <c r="D617" s="33"/>
      <c r="E617" s="33">
        <v>587</v>
      </c>
      <c r="F617" s="37"/>
      <c r="G617" s="37"/>
      <c r="H617" s="37">
        <f t="shared" si="505"/>
        <v>868800</v>
      </c>
      <c r="I617" s="37">
        <f ca="1">(RANDBETWEEN($E$14,$F$14)*$I$9)+$I$10+$I$18</f>
        <v>-369472.96408399101</v>
      </c>
      <c r="J617" s="37">
        <f ca="1">(RANDBETWEEN($E$14,$F$14)*$J$9)+$J$10+$J$18</f>
        <v>-9238.8910066427197</v>
      </c>
      <c r="K617" s="37">
        <f ca="1">(RANDBETWEEN($E$14,$F$14)*$K$9)+$K$10+$K$18</f>
        <v>24363.532183028292</v>
      </c>
      <c r="L617" s="37">
        <f ca="1">(RANDBETWEEN($E$14,$F$14)*$L$9)+$L$10+$L$18</f>
        <v>999716.39339203853</v>
      </c>
      <c r="M617" s="37">
        <f ca="1">(RANDBETWEEN($E$14,$F$14)*$M$9)+$M$10+$M$18</f>
        <v>1043245.7659826493</v>
      </c>
      <c r="N617" s="37">
        <f t="shared" ref="N617" ca="1" si="582">NPV($E$23+$F$23,H617:M617)+$H$4</f>
        <v>1006540.7446348586</v>
      </c>
    </row>
    <row r="618" spans="4:17" x14ac:dyDescent="0.25">
      <c r="D618" s="33"/>
      <c r="E618" s="33">
        <v>588</v>
      </c>
      <c r="F618" s="37"/>
      <c r="G618" s="37"/>
      <c r="H618" s="37">
        <f t="shared" si="505"/>
        <v>868800</v>
      </c>
      <c r="I618" s="37">
        <f ca="1">(RANDBETWEEN($E$14,$F$14)*$I$9)+$I$10+$I$18</f>
        <v>-369472.96408399101</v>
      </c>
      <c r="J618" s="37">
        <f ca="1">(RANDBETWEEN($E$14,$F$14)*$J$9)+$J$10+$J$18</f>
        <v>-9238.8910066427197</v>
      </c>
      <c r="K618" s="37">
        <f ca="1">(RANDBETWEEN($E$14,$F$14)*$K$9)+$K$10+$K$18</f>
        <v>260393.25392346107</v>
      </c>
      <c r="L618" s="37">
        <f ca="1">(RANDBETWEEN($E$14,$F$14)*$L$9)+$L$10+$L$18</f>
        <v>999716.39339203853</v>
      </c>
      <c r="M618" s="37">
        <f ca="1">(RANDBETWEEN($E$14,$F$14)*$M$9)+$M$10+$M$18</f>
        <v>1043245.7659826493</v>
      </c>
      <c r="N618" s="37">
        <f t="shared" ref="N618" ca="1" si="583">NPV($E$23+$F$23,H618:M618)+$H$4</f>
        <v>1200722.9808351514</v>
      </c>
    </row>
    <row r="619" spans="4:17" x14ac:dyDescent="0.25">
      <c r="D619" s="33"/>
      <c r="E619" s="33">
        <v>589</v>
      </c>
      <c r="F619" s="37"/>
      <c r="G619" s="37"/>
      <c r="H619" s="37">
        <f t="shared" si="505"/>
        <v>868800</v>
      </c>
      <c r="I619" s="37">
        <f ca="1">(RANDBETWEEN($E$14,$F$14)*$I$9)+$I$10+$I$18</f>
        <v>-369472.96408399101</v>
      </c>
      <c r="J619" s="37">
        <f ca="1">(RANDBETWEEN($E$14,$F$14)*$J$9)+$J$10+$J$18</f>
        <v>-9238.8910066427197</v>
      </c>
      <c r="K619" s="37">
        <f ca="1">(RANDBETWEEN($E$14,$F$14)*$K$9)+$K$10+$K$18</f>
        <v>24363.532183028292</v>
      </c>
      <c r="L619" s="37">
        <f ca="1">(RANDBETWEEN($E$14,$F$14)*$L$9)+$L$10+$L$18</f>
        <v>999716.39339203853</v>
      </c>
      <c r="M619" s="37">
        <f ca="1">(RANDBETWEEN($E$14,$F$14)*$M$9)+$M$10+$M$18</f>
        <v>1424944.0925515993</v>
      </c>
      <c r="N619" s="37">
        <f t="shared" ref="N619" ca="1" si="584">NPV($E$23+$F$23,H619:M619)+$H$4</f>
        <v>1291369.9127910445</v>
      </c>
    </row>
    <row r="620" spans="4:17" x14ac:dyDescent="0.25">
      <c r="D620" s="33"/>
      <c r="E620" s="33">
        <v>590</v>
      </c>
      <c r="F620" s="37"/>
      <c r="G620" s="37"/>
      <c r="H620" s="37">
        <f t="shared" si="505"/>
        <v>868800</v>
      </c>
      <c r="I620" s="37">
        <f ca="1">(RANDBETWEEN($E$14,$F$14)*$I$9)+$I$10+$I$18</f>
        <v>-189819.59895313275</v>
      </c>
      <c r="J620" s="37">
        <f ca="1">(RANDBETWEEN($E$14,$F$14)*$J$9)+$J$10+$J$18</f>
        <v>-9238.8910066427197</v>
      </c>
      <c r="K620" s="37">
        <f ca="1">(RANDBETWEEN($E$14,$F$14)*$K$9)+$K$10+$K$18</f>
        <v>260393.25392346107</v>
      </c>
      <c r="L620" s="37">
        <f ca="1">(RANDBETWEEN($E$14,$F$14)*$L$9)+$L$10+$L$18</f>
        <v>671221.40421803342</v>
      </c>
      <c r="M620" s="37">
        <f ca="1">(RANDBETWEEN($E$14,$F$14)*$M$9)+$M$10+$M$18</f>
        <v>1043245.7659826493</v>
      </c>
      <c r="N620" s="37">
        <f t="shared" ref="N620" ca="1" si="585">NPV($E$23+$F$23,H620:M620)+$H$4</f>
        <v>1106289.4593414213</v>
      </c>
    </row>
    <row r="621" spans="4:17" x14ac:dyDescent="0.25">
      <c r="D621" s="33"/>
      <c r="E621" s="33">
        <v>591</v>
      </c>
      <c r="F621" s="37"/>
      <c r="G621" s="37"/>
      <c r="H621" s="37">
        <f t="shared" si="505"/>
        <v>868800</v>
      </c>
      <c r="I621" s="37">
        <f ca="1">(RANDBETWEEN($E$14,$F$14)*$I$9)+$I$10+$I$18</f>
        <v>-369472.96408399101</v>
      </c>
      <c r="J621" s="37">
        <f ca="1">(RANDBETWEEN($E$14,$F$14)*$J$9)+$J$10+$J$18</f>
        <v>-9238.8910066427197</v>
      </c>
      <c r="K621" s="37">
        <f ca="1">(RANDBETWEEN($E$14,$F$14)*$K$9)+$K$10+$K$18</f>
        <v>24363.532183028292</v>
      </c>
      <c r="L621" s="37">
        <f ca="1">(RANDBETWEEN($E$14,$F$14)*$L$9)+$L$10+$L$18</f>
        <v>999716.39339203853</v>
      </c>
      <c r="M621" s="37">
        <f ca="1">(RANDBETWEEN($E$14,$F$14)*$M$9)+$M$10+$M$18</f>
        <v>1424944.0925515993</v>
      </c>
      <c r="N621" s="37">
        <f t="shared" ref="N621" ca="1" si="586">NPV($E$23+$F$23,H621:M621)+$H$4</f>
        <v>1291369.9127910445</v>
      </c>
    </row>
    <row r="622" spans="4:17" x14ac:dyDescent="0.25">
      <c r="D622" s="33"/>
      <c r="E622" s="33">
        <v>592</v>
      </c>
      <c r="F622" s="37"/>
      <c r="G622" s="37"/>
      <c r="H622" s="37">
        <f t="shared" si="505"/>
        <v>868800</v>
      </c>
      <c r="I622" s="37">
        <f ca="1">(RANDBETWEEN($E$14,$F$14)*$I$9)+$I$10+$I$18</f>
        <v>-369472.96408399101</v>
      </c>
      <c r="J622" s="37">
        <f ca="1">(RANDBETWEEN($E$14,$F$14)*$J$9)+$J$10+$J$18</f>
        <v>-9238.8910066427197</v>
      </c>
      <c r="K622" s="37">
        <f ca="1">(RANDBETWEEN($E$14,$F$14)*$K$9)+$K$10+$K$18</f>
        <v>260393.25392346107</v>
      </c>
      <c r="L622" s="37">
        <f ca="1">(RANDBETWEEN($E$14,$F$14)*$L$9)+$L$10+$L$18</f>
        <v>999716.39339203853</v>
      </c>
      <c r="M622" s="37">
        <f ca="1">(RANDBETWEEN($E$14,$F$14)*$M$9)+$M$10+$M$18</f>
        <v>1043245.7659826493</v>
      </c>
      <c r="N622" s="37">
        <f t="shared" ref="N622" ca="1" si="587">NPV($E$23+$F$23,H622:M622)+$H$4</f>
        <v>1200722.9808351514</v>
      </c>
    </row>
    <row r="623" spans="4:17" x14ac:dyDescent="0.25">
      <c r="D623" s="33"/>
      <c r="E623" s="33">
        <v>593</v>
      </c>
      <c r="F623" s="37"/>
      <c r="G623" s="37"/>
      <c r="H623" s="37">
        <f t="shared" si="505"/>
        <v>868800</v>
      </c>
      <c r="I623" s="37">
        <f ca="1">(RANDBETWEEN($E$14,$F$14)*$I$9)+$I$10+$I$18</f>
        <v>-189819.59895313275</v>
      </c>
      <c r="J623" s="37">
        <f ca="1">(RANDBETWEEN($E$14,$F$14)*$J$9)+$J$10+$J$18</f>
        <v>221933.48456383706</v>
      </c>
      <c r="K623" s="37">
        <f ca="1">(RANDBETWEEN($E$14,$F$14)*$K$9)+$K$10+$K$18</f>
        <v>24363.532183028292</v>
      </c>
      <c r="L623" s="37">
        <f ca="1">(RANDBETWEEN($E$14,$F$14)*$L$9)+$L$10+$L$18</f>
        <v>999716.39339203853</v>
      </c>
      <c r="M623" s="37">
        <f ca="1">(RANDBETWEEN($E$14,$F$14)*$M$9)+$M$10+$M$18</f>
        <v>1043245.7659826493</v>
      </c>
      <c r="N623" s="37">
        <f t="shared" ref="N623" ca="1" si="588">NPV($E$23+$F$23,H623:M623)+$H$4</f>
        <v>1369187.0324723539</v>
      </c>
    </row>
    <row r="624" spans="4:17" x14ac:dyDescent="0.25">
      <c r="D624" s="33"/>
      <c r="E624" s="33">
        <v>594</v>
      </c>
      <c r="F624" s="37"/>
      <c r="G624" s="37"/>
      <c r="H624" s="37">
        <f t="shared" si="505"/>
        <v>868800</v>
      </c>
      <c r="I624" s="37">
        <f ca="1">(RANDBETWEEN($E$14,$F$14)*$I$9)+$I$10+$I$18</f>
        <v>-189819.59895313275</v>
      </c>
      <c r="J624" s="37">
        <f ca="1">(RANDBETWEEN($E$14,$F$14)*$J$9)+$J$10+$J$18</f>
        <v>221933.48456383706</v>
      </c>
      <c r="K624" s="37">
        <f ca="1">(RANDBETWEEN($E$14,$F$14)*$K$9)+$K$10+$K$18</f>
        <v>260393.25392346107</v>
      </c>
      <c r="L624" s="37">
        <f ca="1">(RANDBETWEEN($E$14,$F$14)*$L$9)+$L$10+$L$18</f>
        <v>999716.39339203853</v>
      </c>
      <c r="M624" s="37">
        <f ca="1">(RANDBETWEEN($E$14,$F$14)*$M$9)+$M$10+$M$18</f>
        <v>1424944.0925515993</v>
      </c>
      <c r="N624" s="37">
        <f t="shared" ref="N624" ca="1" si="589">NPV($E$23+$F$23,H624:M624)+$H$4</f>
        <v>1848198.4368288331</v>
      </c>
      <c r="Q624" s="37"/>
    </row>
    <row r="625" spans="4:17" x14ac:dyDescent="0.25">
      <c r="D625" s="33"/>
      <c r="E625" s="33">
        <v>595</v>
      </c>
      <c r="F625" s="37"/>
      <c r="G625" s="37"/>
      <c r="H625" s="37">
        <f t="shared" si="505"/>
        <v>868800</v>
      </c>
      <c r="I625" s="37">
        <f ca="1">(RANDBETWEEN($E$14,$F$14)*$I$9)+$I$10+$I$18</f>
        <v>-189819.59895313275</v>
      </c>
      <c r="J625" s="37">
        <f ca="1">(RANDBETWEEN($E$14,$F$14)*$J$9)+$J$10+$J$18</f>
        <v>-9238.8910066427197</v>
      </c>
      <c r="K625" s="37">
        <f ca="1">(RANDBETWEEN($E$14,$F$14)*$K$9)+$K$10+$K$18</f>
        <v>260393.25392346107</v>
      </c>
      <c r="L625" s="37">
        <f ca="1">(RANDBETWEEN($E$14,$F$14)*$L$9)+$L$10+$L$18</f>
        <v>671221.40421803342</v>
      </c>
      <c r="M625" s="37">
        <f ca="1">(RANDBETWEEN($E$14,$F$14)*$M$9)+$M$10+$M$18</f>
        <v>1043245.7659826493</v>
      </c>
      <c r="N625" s="37">
        <f t="shared" ref="N625" ca="1" si="590">NPV($E$23+$F$23,H625:M625)+$H$4</f>
        <v>1106289.4593414213</v>
      </c>
    </row>
    <row r="626" spans="4:17" x14ac:dyDescent="0.25">
      <c r="D626" s="33"/>
      <c r="E626" s="33">
        <v>596</v>
      </c>
      <c r="F626" s="37"/>
      <c r="G626" s="37"/>
      <c r="H626" s="37">
        <f t="shared" si="505"/>
        <v>868800</v>
      </c>
      <c r="I626" s="37">
        <f ca="1">(RANDBETWEEN($E$14,$F$14)*$I$9)+$I$10+$I$18</f>
        <v>-369472.96408399101</v>
      </c>
      <c r="J626" s="37">
        <f ca="1">(RANDBETWEEN($E$14,$F$14)*$J$9)+$J$10+$J$18</f>
        <v>221933.48456383706</v>
      </c>
      <c r="K626" s="37">
        <f ca="1">(RANDBETWEEN($E$14,$F$14)*$K$9)+$K$10+$K$18</f>
        <v>260393.25392346107</v>
      </c>
      <c r="L626" s="37">
        <f ca="1">(RANDBETWEEN($E$14,$F$14)*$L$9)+$L$10+$L$18</f>
        <v>671221.40421803342</v>
      </c>
      <c r="M626" s="37">
        <f ca="1">(RANDBETWEEN($E$14,$F$14)*$M$9)+$M$10+$M$18</f>
        <v>1424944.0925515993</v>
      </c>
      <c r="N626" s="37">
        <f t="shared" ref="N626" ca="1" si="591">NPV($E$23+$F$23,H626:M626)+$H$4</f>
        <v>1427863.1191793513</v>
      </c>
    </row>
    <row r="627" spans="4:17" x14ac:dyDescent="0.25">
      <c r="D627" s="33"/>
      <c r="E627" s="33">
        <v>597</v>
      </c>
      <c r="F627" s="37"/>
      <c r="G627" s="37"/>
      <c r="H627" s="37">
        <f t="shared" si="505"/>
        <v>868800</v>
      </c>
      <c r="I627" s="37">
        <f ca="1">(RANDBETWEEN($E$14,$F$14)*$I$9)+$I$10+$I$18</f>
        <v>-369472.96408399101</v>
      </c>
      <c r="J627" s="37">
        <f ca="1">(RANDBETWEEN($E$14,$F$14)*$J$9)+$J$10+$J$18</f>
        <v>221933.48456383706</v>
      </c>
      <c r="K627" s="37">
        <f ca="1">(RANDBETWEEN($E$14,$F$14)*$K$9)+$K$10+$K$18</f>
        <v>24363.532183028292</v>
      </c>
      <c r="L627" s="37">
        <f ca="1">(RANDBETWEEN($E$14,$F$14)*$L$9)+$L$10+$L$18</f>
        <v>671221.40421803342</v>
      </c>
      <c r="M627" s="37">
        <f ca="1">(RANDBETWEEN($E$14,$F$14)*$M$9)+$M$10+$M$18</f>
        <v>1043245.7659826493</v>
      </c>
      <c r="N627" s="37">
        <f t="shared" ref="N627" ca="1" si="592">NPV($E$23+$F$23,H627:M627)+$H$4</f>
        <v>948851.71482287208</v>
      </c>
    </row>
    <row r="628" spans="4:17" x14ac:dyDescent="0.25">
      <c r="D628" s="33"/>
      <c r="E628" s="33">
        <v>598</v>
      </c>
      <c r="F628" s="37"/>
      <c r="G628" s="37"/>
      <c r="H628" s="37">
        <f t="shared" si="505"/>
        <v>868800</v>
      </c>
      <c r="I628" s="37">
        <f ca="1">(RANDBETWEEN($E$14,$F$14)*$I$9)+$I$10+$I$18</f>
        <v>-189819.59895313275</v>
      </c>
      <c r="J628" s="37">
        <f ca="1">(RANDBETWEEN($E$14,$F$14)*$J$9)+$J$10+$J$18</f>
        <v>-9238.8910066427197</v>
      </c>
      <c r="K628" s="37">
        <f ca="1">(RANDBETWEEN($E$14,$F$14)*$K$9)+$K$10+$K$18</f>
        <v>24363.532183028292</v>
      </c>
      <c r="L628" s="37">
        <f ca="1">(RANDBETWEEN($E$14,$F$14)*$L$9)+$L$10+$L$18</f>
        <v>999716.39339203853</v>
      </c>
      <c r="M628" s="37">
        <f ca="1">(RANDBETWEEN($E$14,$F$14)*$M$9)+$M$10+$M$18</f>
        <v>1424944.0925515993</v>
      </c>
      <c r="N628" s="37">
        <f t="shared" ref="N628" ca="1" si="593">NPV($E$23+$F$23,H628:M628)+$H$4</f>
        <v>1454320.8108689203</v>
      </c>
    </row>
    <row r="629" spans="4:17" x14ac:dyDescent="0.25">
      <c r="D629" s="33"/>
      <c r="E629" s="33">
        <v>599</v>
      </c>
      <c r="F629" s="37"/>
      <c r="G629" s="37"/>
      <c r="H629" s="37">
        <f t="shared" si="505"/>
        <v>868800</v>
      </c>
      <c r="I629" s="37">
        <f ca="1">(RANDBETWEEN($E$14,$F$14)*$I$9)+$I$10+$I$18</f>
        <v>-369472.96408399101</v>
      </c>
      <c r="J629" s="37">
        <f ca="1">(RANDBETWEEN($E$14,$F$14)*$J$9)+$J$10+$J$18</f>
        <v>221933.48456383706</v>
      </c>
      <c r="K629" s="37">
        <f ca="1">(RANDBETWEEN($E$14,$F$14)*$K$9)+$K$10+$K$18</f>
        <v>24363.532183028292</v>
      </c>
      <c r="L629" s="37">
        <f ca="1">(RANDBETWEEN($E$14,$F$14)*$L$9)+$L$10+$L$18</f>
        <v>999716.39339203853</v>
      </c>
      <c r="M629" s="37">
        <f ca="1">(RANDBETWEEN($E$14,$F$14)*$M$9)+$M$10+$M$18</f>
        <v>1043245.7659826493</v>
      </c>
      <c r="N629" s="37">
        <f t="shared" ref="N629" ca="1" si="594">NPV($E$23+$F$23,H629:M629)+$H$4</f>
        <v>1206236.1343944785</v>
      </c>
    </row>
    <row r="630" spans="4:17" x14ac:dyDescent="0.25">
      <c r="D630" s="33"/>
      <c r="E630" s="33">
        <v>600</v>
      </c>
      <c r="F630" s="37"/>
      <c r="G630" s="37"/>
      <c r="H630" s="37">
        <f t="shared" si="505"/>
        <v>868800</v>
      </c>
      <c r="I630" s="37">
        <f ca="1">(RANDBETWEEN($E$14,$F$14)*$I$9)+$I$10+$I$18</f>
        <v>-189819.59895313275</v>
      </c>
      <c r="J630" s="37">
        <f ca="1">(RANDBETWEEN($E$14,$F$14)*$J$9)+$J$10+$J$18</f>
        <v>-9238.8910066427197</v>
      </c>
      <c r="K630" s="37">
        <f ca="1">(RANDBETWEEN($E$14,$F$14)*$K$9)+$K$10+$K$18</f>
        <v>24363.532183028292</v>
      </c>
      <c r="L630" s="37">
        <f ca="1">(RANDBETWEEN($E$14,$F$14)*$L$9)+$L$10+$L$18</f>
        <v>671221.40421803342</v>
      </c>
      <c r="M630" s="37">
        <f ca="1">(RANDBETWEEN($E$14,$F$14)*$M$9)+$M$10+$M$18</f>
        <v>1424944.0925515993</v>
      </c>
      <c r="N630" s="37">
        <f t="shared" ref="N630" ca="1" si="595">NPV($E$23+$F$23,H630:M630)+$H$4</f>
        <v>1196936.3912973143</v>
      </c>
      <c r="Q630" s="37"/>
    </row>
    <row r="631" spans="4:17" x14ac:dyDescent="0.25">
      <c r="D631" s="33"/>
      <c r="E631" s="33">
        <v>601</v>
      </c>
      <c r="F631" s="37"/>
      <c r="G631" s="37"/>
      <c r="H631" s="37">
        <f t="shared" si="505"/>
        <v>868800</v>
      </c>
      <c r="I631" s="37">
        <f ca="1">(RANDBETWEEN($E$14,$F$14)*$I$9)+$I$10+$I$18</f>
        <v>-189819.59895313275</v>
      </c>
      <c r="J631" s="37">
        <f ca="1">(RANDBETWEEN($E$14,$F$14)*$J$9)+$J$10+$J$18</f>
        <v>221933.48456383706</v>
      </c>
      <c r="K631" s="37">
        <f ca="1">(RANDBETWEEN($E$14,$F$14)*$K$9)+$K$10+$K$18</f>
        <v>24363.532183028292</v>
      </c>
      <c r="L631" s="37">
        <f ca="1">(RANDBETWEEN($E$14,$F$14)*$L$9)+$L$10+$L$18</f>
        <v>999716.39339203853</v>
      </c>
      <c r="M631" s="37">
        <f ca="1">(RANDBETWEEN($E$14,$F$14)*$M$9)+$M$10+$M$18</f>
        <v>1424944.0925515993</v>
      </c>
      <c r="N631" s="37">
        <f t="shared" ref="N631" ca="1" si="596">NPV($E$23+$F$23,H631:M631)+$H$4</f>
        <v>1654016.20062854</v>
      </c>
      <c r="Q631" s="37"/>
    </row>
    <row r="632" spans="4:17" x14ac:dyDescent="0.25">
      <c r="D632" s="33"/>
      <c r="E632" s="33">
        <v>602</v>
      </c>
      <c r="F632" s="37"/>
      <c r="G632" s="37"/>
      <c r="H632" s="37">
        <f t="shared" si="505"/>
        <v>868800</v>
      </c>
      <c r="I632" s="37">
        <f ca="1">(RANDBETWEEN($E$14,$F$14)*$I$9)+$I$10+$I$18</f>
        <v>-369472.96408399101</v>
      </c>
      <c r="J632" s="37">
        <f ca="1">(RANDBETWEEN($E$14,$F$14)*$J$9)+$J$10+$J$18</f>
        <v>-9238.8910066427197</v>
      </c>
      <c r="K632" s="37">
        <f ca="1">(RANDBETWEEN($E$14,$F$14)*$K$9)+$K$10+$K$18</f>
        <v>24363.532183028292</v>
      </c>
      <c r="L632" s="37">
        <f ca="1">(RANDBETWEEN($E$14,$F$14)*$L$9)+$L$10+$L$18</f>
        <v>999716.39339203853</v>
      </c>
      <c r="M632" s="37">
        <f ca="1">(RANDBETWEEN($E$14,$F$14)*$M$9)+$M$10+$M$18</f>
        <v>1424944.0925515993</v>
      </c>
      <c r="N632" s="37">
        <f t="shared" ref="N632" ca="1" si="597">NPV($E$23+$F$23,H632:M632)+$H$4</f>
        <v>1291369.9127910445</v>
      </c>
    </row>
    <row r="633" spans="4:17" x14ac:dyDescent="0.25">
      <c r="D633" s="33"/>
      <c r="E633" s="33">
        <v>603</v>
      </c>
      <c r="F633" s="37"/>
      <c r="G633" s="37"/>
      <c r="H633" s="37">
        <f t="shared" si="505"/>
        <v>868800</v>
      </c>
      <c r="I633" s="37">
        <f ca="1">(RANDBETWEEN($E$14,$F$14)*$I$9)+$I$10+$I$18</f>
        <v>-369472.96408399101</v>
      </c>
      <c r="J633" s="37">
        <f ca="1">(RANDBETWEEN($E$14,$F$14)*$J$9)+$J$10+$J$18</f>
        <v>-9238.8910066427197</v>
      </c>
      <c r="K633" s="37">
        <f ca="1">(RANDBETWEEN($E$14,$F$14)*$K$9)+$K$10+$K$18</f>
        <v>24363.532183028292</v>
      </c>
      <c r="L633" s="37">
        <f ca="1">(RANDBETWEEN($E$14,$F$14)*$L$9)+$L$10+$L$18</f>
        <v>671221.40421803342</v>
      </c>
      <c r="M633" s="37">
        <f ca="1">(RANDBETWEEN($E$14,$F$14)*$M$9)+$M$10+$M$18</f>
        <v>1043245.7659826493</v>
      </c>
      <c r="N633" s="37">
        <f t="shared" ref="N633" ca="1" si="598">NPV($E$23+$F$23,H633:M633)+$H$4</f>
        <v>749156.32506325236</v>
      </c>
      <c r="Q633" s="37"/>
    </row>
    <row r="634" spans="4:17" x14ac:dyDescent="0.25">
      <c r="D634" s="33"/>
      <c r="E634" s="33">
        <v>604</v>
      </c>
      <c r="F634" s="37"/>
      <c r="G634" s="37"/>
      <c r="H634" s="37">
        <f t="shared" si="505"/>
        <v>868800</v>
      </c>
      <c r="I634" s="37">
        <f ca="1">(RANDBETWEEN($E$14,$F$14)*$I$9)+$I$10+$I$18</f>
        <v>-369472.96408399101</v>
      </c>
      <c r="J634" s="37">
        <f ca="1">(RANDBETWEEN($E$14,$F$14)*$J$9)+$J$10+$J$18</f>
        <v>221933.48456383706</v>
      </c>
      <c r="K634" s="37">
        <f ca="1">(RANDBETWEEN($E$14,$F$14)*$K$9)+$K$10+$K$18</f>
        <v>260393.25392346107</v>
      </c>
      <c r="L634" s="37">
        <f ca="1">(RANDBETWEEN($E$14,$F$14)*$L$9)+$L$10+$L$18</f>
        <v>999716.39339203853</v>
      </c>
      <c r="M634" s="37">
        <f ca="1">(RANDBETWEEN($E$14,$F$14)*$M$9)+$M$10+$M$18</f>
        <v>1043245.7659826493</v>
      </c>
      <c r="N634" s="37">
        <f t="shared" ref="N634" ca="1" si="599">NPV($E$23+$F$23,H634:M634)+$H$4</f>
        <v>1400418.3705947716</v>
      </c>
    </row>
    <row r="635" spans="4:17" x14ac:dyDescent="0.25">
      <c r="D635" s="33"/>
      <c r="E635" s="33">
        <v>605</v>
      </c>
      <c r="F635" s="37"/>
      <c r="G635" s="37"/>
      <c r="H635" s="37">
        <f t="shared" si="505"/>
        <v>868800</v>
      </c>
      <c r="I635" s="37">
        <f ca="1">(RANDBETWEEN($E$14,$F$14)*$I$9)+$I$10+$I$18</f>
        <v>-189819.59895313275</v>
      </c>
      <c r="J635" s="37">
        <f ca="1">(RANDBETWEEN($E$14,$F$14)*$J$9)+$J$10+$J$18</f>
        <v>221933.48456383706</v>
      </c>
      <c r="K635" s="37">
        <f ca="1">(RANDBETWEEN($E$14,$F$14)*$K$9)+$K$10+$K$18</f>
        <v>260393.25392346107</v>
      </c>
      <c r="L635" s="37">
        <f ca="1">(RANDBETWEEN($E$14,$F$14)*$L$9)+$L$10+$L$18</f>
        <v>671221.40421803342</v>
      </c>
      <c r="M635" s="37">
        <f ca="1">(RANDBETWEEN($E$14,$F$14)*$M$9)+$M$10+$M$18</f>
        <v>1043245.7659826493</v>
      </c>
      <c r="N635" s="37">
        <f t="shared" ref="N635" ca="1" si="600">NPV($E$23+$F$23,H635:M635)+$H$4</f>
        <v>1305984.8491010414</v>
      </c>
    </row>
    <row r="636" spans="4:17" x14ac:dyDescent="0.25">
      <c r="D636" s="33"/>
      <c r="E636" s="33">
        <v>606</v>
      </c>
      <c r="F636" s="37"/>
      <c r="G636" s="37"/>
      <c r="H636" s="37">
        <f t="shared" si="505"/>
        <v>868800</v>
      </c>
      <c r="I636" s="37">
        <f ca="1">(RANDBETWEEN($E$14,$F$14)*$I$9)+$I$10+$I$18</f>
        <v>-189819.59895313275</v>
      </c>
      <c r="J636" s="37">
        <f ca="1">(RANDBETWEEN($E$14,$F$14)*$J$9)+$J$10+$J$18</f>
        <v>-9238.8910066427197</v>
      </c>
      <c r="K636" s="37">
        <f ca="1">(RANDBETWEEN($E$14,$F$14)*$K$9)+$K$10+$K$18</f>
        <v>260393.25392346107</v>
      </c>
      <c r="L636" s="37">
        <f ca="1">(RANDBETWEEN($E$14,$F$14)*$L$9)+$L$10+$L$18</f>
        <v>671221.40421803342</v>
      </c>
      <c r="M636" s="37">
        <f ca="1">(RANDBETWEEN($E$14,$F$14)*$M$9)+$M$10+$M$18</f>
        <v>1424944.0925515993</v>
      </c>
      <c r="N636" s="37">
        <f t="shared" ref="N636" ca="1" si="601">NPV($E$23+$F$23,H636:M636)+$H$4</f>
        <v>1391118.6274976074</v>
      </c>
    </row>
    <row r="637" spans="4:17" x14ac:dyDescent="0.25">
      <c r="D637" s="33"/>
      <c r="E637" s="33">
        <v>607</v>
      </c>
      <c r="F637" s="37"/>
      <c r="G637" s="37"/>
      <c r="H637" s="37">
        <f t="shared" si="505"/>
        <v>868800</v>
      </c>
      <c r="I637" s="37">
        <f ca="1">(RANDBETWEEN($E$14,$F$14)*$I$9)+$I$10+$I$18</f>
        <v>-189819.59895313275</v>
      </c>
      <c r="J637" s="37">
        <f ca="1">(RANDBETWEEN($E$14,$F$14)*$J$9)+$J$10+$J$18</f>
        <v>-9238.8910066427197</v>
      </c>
      <c r="K637" s="37">
        <f ca="1">(RANDBETWEEN($E$14,$F$14)*$K$9)+$K$10+$K$18</f>
        <v>24363.532183028292</v>
      </c>
      <c r="L637" s="37">
        <f ca="1">(RANDBETWEEN($E$14,$F$14)*$L$9)+$L$10+$L$18</f>
        <v>999716.39339203853</v>
      </c>
      <c r="M637" s="37">
        <f ca="1">(RANDBETWEEN($E$14,$F$14)*$M$9)+$M$10+$M$18</f>
        <v>1043245.7659826493</v>
      </c>
      <c r="N637" s="37">
        <f t="shared" ref="N637" ca="1" si="602">NPV($E$23+$F$23,H637:M637)+$H$4</f>
        <v>1169491.6427127346</v>
      </c>
    </row>
    <row r="638" spans="4:17" x14ac:dyDescent="0.25">
      <c r="D638" s="33"/>
      <c r="E638" s="33">
        <v>608</v>
      </c>
      <c r="F638" s="37"/>
      <c r="G638" s="37"/>
      <c r="H638" s="37">
        <f t="shared" si="505"/>
        <v>868800</v>
      </c>
      <c r="I638" s="37">
        <f ca="1">(RANDBETWEEN($E$14,$F$14)*$I$9)+$I$10+$I$18</f>
        <v>-369472.96408399101</v>
      </c>
      <c r="J638" s="37">
        <f ca="1">(RANDBETWEEN($E$14,$F$14)*$J$9)+$J$10+$J$18</f>
        <v>221933.48456383706</v>
      </c>
      <c r="K638" s="37">
        <f ca="1">(RANDBETWEEN($E$14,$F$14)*$K$9)+$K$10+$K$18</f>
        <v>24363.532183028292</v>
      </c>
      <c r="L638" s="37">
        <f ca="1">(RANDBETWEEN($E$14,$F$14)*$L$9)+$L$10+$L$18</f>
        <v>999716.39339203853</v>
      </c>
      <c r="M638" s="37">
        <f ca="1">(RANDBETWEEN($E$14,$F$14)*$M$9)+$M$10+$M$18</f>
        <v>1043245.7659826493</v>
      </c>
      <c r="N638" s="37">
        <f t="shared" ref="N638" ca="1" si="603">NPV($E$23+$F$23,H638:M638)+$H$4</f>
        <v>1206236.1343944785</v>
      </c>
    </row>
    <row r="639" spans="4:17" x14ac:dyDescent="0.25">
      <c r="D639" s="33"/>
      <c r="E639" s="33">
        <v>609</v>
      </c>
      <c r="F639" s="37"/>
      <c r="G639" s="37"/>
      <c r="H639" s="37">
        <f t="shared" si="505"/>
        <v>868800</v>
      </c>
      <c r="I639" s="37">
        <f ca="1">(RANDBETWEEN($E$14,$F$14)*$I$9)+$I$10+$I$18</f>
        <v>-189819.59895313275</v>
      </c>
      <c r="J639" s="37">
        <f ca="1">(RANDBETWEEN($E$14,$F$14)*$J$9)+$J$10+$J$18</f>
        <v>-9238.8910066427197</v>
      </c>
      <c r="K639" s="37">
        <f ca="1">(RANDBETWEEN($E$14,$F$14)*$K$9)+$K$10+$K$18</f>
        <v>260393.25392346107</v>
      </c>
      <c r="L639" s="37">
        <f ca="1">(RANDBETWEEN($E$14,$F$14)*$L$9)+$L$10+$L$18</f>
        <v>999716.39339203853</v>
      </c>
      <c r="M639" s="37">
        <f ca="1">(RANDBETWEEN($E$14,$F$14)*$M$9)+$M$10+$M$18</f>
        <v>1424944.0925515993</v>
      </c>
      <c r="N639" s="37">
        <f t="shared" ref="N639" ca="1" si="604">NPV($E$23+$F$23,H639:M639)+$H$4</f>
        <v>1648503.0470692138</v>
      </c>
    </row>
    <row r="640" spans="4:17" x14ac:dyDescent="0.25">
      <c r="D640" s="33"/>
      <c r="E640" s="33">
        <v>610</v>
      </c>
      <c r="F640" s="37"/>
      <c r="G640" s="37"/>
      <c r="H640" s="37">
        <f t="shared" si="505"/>
        <v>868800</v>
      </c>
      <c r="I640" s="37">
        <f ca="1">(RANDBETWEEN($E$14,$F$14)*$I$9)+$I$10+$I$18</f>
        <v>-189819.59895313275</v>
      </c>
      <c r="J640" s="37">
        <f ca="1">(RANDBETWEEN($E$14,$F$14)*$J$9)+$J$10+$J$18</f>
        <v>-9238.8910066427197</v>
      </c>
      <c r="K640" s="37">
        <f ca="1">(RANDBETWEEN($E$14,$F$14)*$K$9)+$K$10+$K$18</f>
        <v>260393.25392346107</v>
      </c>
      <c r="L640" s="37">
        <f ca="1">(RANDBETWEEN($E$14,$F$14)*$L$9)+$L$10+$L$18</f>
        <v>671221.40421803342</v>
      </c>
      <c r="M640" s="37">
        <f ca="1">(RANDBETWEEN($E$14,$F$14)*$M$9)+$M$10+$M$18</f>
        <v>1043245.7659826493</v>
      </c>
      <c r="N640" s="37">
        <f t="shared" ref="N640" ca="1" si="605">NPV($E$23+$F$23,H640:M640)+$H$4</f>
        <v>1106289.4593414213</v>
      </c>
      <c r="Q640" s="37"/>
    </row>
    <row r="641" spans="4:17" x14ac:dyDescent="0.25">
      <c r="D641" s="33"/>
      <c r="E641" s="33">
        <v>611</v>
      </c>
      <c r="F641" s="37"/>
      <c r="G641" s="37"/>
      <c r="H641" s="37">
        <f t="shared" si="505"/>
        <v>868800</v>
      </c>
      <c r="I641" s="37">
        <f ca="1">(RANDBETWEEN($E$14,$F$14)*$I$9)+$I$10+$I$18</f>
        <v>-189819.59895313275</v>
      </c>
      <c r="J641" s="37">
        <f ca="1">(RANDBETWEEN($E$14,$F$14)*$J$9)+$J$10+$J$18</f>
        <v>221933.48456383706</v>
      </c>
      <c r="K641" s="37">
        <f ca="1">(RANDBETWEEN($E$14,$F$14)*$K$9)+$K$10+$K$18</f>
        <v>24363.532183028292</v>
      </c>
      <c r="L641" s="37">
        <f ca="1">(RANDBETWEEN($E$14,$F$14)*$L$9)+$L$10+$L$18</f>
        <v>999716.39339203853</v>
      </c>
      <c r="M641" s="37">
        <f ca="1">(RANDBETWEEN($E$14,$F$14)*$M$9)+$M$10+$M$18</f>
        <v>1424944.0925515993</v>
      </c>
      <c r="N641" s="37">
        <f t="shared" ref="N641" ca="1" si="606">NPV($E$23+$F$23,H641:M641)+$H$4</f>
        <v>1654016.20062854</v>
      </c>
    </row>
    <row r="642" spans="4:17" x14ac:dyDescent="0.25">
      <c r="D642" s="33"/>
      <c r="E642" s="33">
        <v>612</v>
      </c>
      <c r="F642" s="37"/>
      <c r="G642" s="37"/>
      <c r="H642" s="37">
        <f t="shared" si="505"/>
        <v>868800</v>
      </c>
      <c r="I642" s="37">
        <f ca="1">(RANDBETWEEN($E$14,$F$14)*$I$9)+$I$10+$I$18</f>
        <v>-189819.59895313275</v>
      </c>
      <c r="J642" s="37">
        <f ca="1">(RANDBETWEEN($E$14,$F$14)*$J$9)+$J$10+$J$18</f>
        <v>-9238.8910066427197</v>
      </c>
      <c r="K642" s="37">
        <f ca="1">(RANDBETWEEN($E$14,$F$14)*$K$9)+$K$10+$K$18</f>
        <v>24363.532183028292</v>
      </c>
      <c r="L642" s="37">
        <f ca="1">(RANDBETWEEN($E$14,$F$14)*$L$9)+$L$10+$L$18</f>
        <v>999716.39339203853</v>
      </c>
      <c r="M642" s="37">
        <f ca="1">(RANDBETWEEN($E$14,$F$14)*$M$9)+$M$10+$M$18</f>
        <v>1043245.7659826493</v>
      </c>
      <c r="N642" s="37">
        <f t="shared" ref="N642" ca="1" si="607">NPV($E$23+$F$23,H642:M642)+$H$4</f>
        <v>1169491.6427127346</v>
      </c>
    </row>
    <row r="643" spans="4:17" x14ac:dyDescent="0.25">
      <c r="D643" s="33"/>
      <c r="E643" s="33">
        <v>613</v>
      </c>
      <c r="F643" s="37"/>
      <c r="G643" s="37"/>
      <c r="H643" s="37">
        <f t="shared" si="505"/>
        <v>868800</v>
      </c>
      <c r="I643" s="37">
        <f ca="1">(RANDBETWEEN($E$14,$F$14)*$I$9)+$I$10+$I$18</f>
        <v>-189819.59895313275</v>
      </c>
      <c r="J643" s="37">
        <f ca="1">(RANDBETWEEN($E$14,$F$14)*$J$9)+$J$10+$J$18</f>
        <v>221933.48456383706</v>
      </c>
      <c r="K643" s="37">
        <f ca="1">(RANDBETWEEN($E$14,$F$14)*$K$9)+$K$10+$K$18</f>
        <v>260393.25392346107</v>
      </c>
      <c r="L643" s="37">
        <f ca="1">(RANDBETWEEN($E$14,$F$14)*$L$9)+$L$10+$L$18</f>
        <v>999716.39339203853</v>
      </c>
      <c r="M643" s="37">
        <f ca="1">(RANDBETWEEN($E$14,$F$14)*$M$9)+$M$10+$M$18</f>
        <v>1043245.7659826493</v>
      </c>
      <c r="N643" s="37">
        <f t="shared" ref="N643" ca="1" si="608">NPV($E$23+$F$23,H643:M643)+$H$4</f>
        <v>1563369.2686726474</v>
      </c>
    </row>
    <row r="644" spans="4:17" x14ac:dyDescent="0.25">
      <c r="D644" s="33"/>
      <c r="E644" s="33">
        <v>614</v>
      </c>
      <c r="F644" s="37"/>
      <c r="G644" s="37"/>
      <c r="H644" s="37">
        <f t="shared" si="505"/>
        <v>868800</v>
      </c>
      <c r="I644" s="37">
        <f ca="1">(RANDBETWEEN($E$14,$F$14)*$I$9)+$I$10+$I$18</f>
        <v>-369472.96408399101</v>
      </c>
      <c r="J644" s="37">
        <f ca="1">(RANDBETWEEN($E$14,$F$14)*$J$9)+$J$10+$J$18</f>
        <v>221933.48456383706</v>
      </c>
      <c r="K644" s="37">
        <f ca="1">(RANDBETWEEN($E$14,$F$14)*$K$9)+$K$10+$K$18</f>
        <v>24363.532183028292</v>
      </c>
      <c r="L644" s="37">
        <f ca="1">(RANDBETWEEN($E$14,$F$14)*$L$9)+$L$10+$L$18</f>
        <v>671221.40421803342</v>
      </c>
      <c r="M644" s="37">
        <f ca="1">(RANDBETWEEN($E$14,$F$14)*$M$9)+$M$10+$M$18</f>
        <v>1424944.0925515993</v>
      </c>
      <c r="N644" s="37">
        <f t="shared" ref="N644" ca="1" si="609">NPV($E$23+$F$23,H644:M644)+$H$4</f>
        <v>1233680.8829790577</v>
      </c>
      <c r="Q644" s="37"/>
    </row>
    <row r="645" spans="4:17" x14ac:dyDescent="0.25">
      <c r="D645" s="33"/>
      <c r="E645" s="33">
        <v>615</v>
      </c>
      <c r="F645" s="37"/>
      <c r="G645" s="37"/>
      <c r="H645" s="37">
        <f t="shared" si="505"/>
        <v>868800</v>
      </c>
      <c r="I645" s="37">
        <f ca="1">(RANDBETWEEN($E$14,$F$14)*$I$9)+$I$10+$I$18</f>
        <v>-189819.59895313275</v>
      </c>
      <c r="J645" s="37">
        <f ca="1">(RANDBETWEEN($E$14,$F$14)*$J$9)+$J$10+$J$18</f>
        <v>-9238.8910066427197</v>
      </c>
      <c r="K645" s="37">
        <f ca="1">(RANDBETWEEN($E$14,$F$14)*$K$9)+$K$10+$K$18</f>
        <v>24363.532183028292</v>
      </c>
      <c r="L645" s="37">
        <f ca="1">(RANDBETWEEN($E$14,$F$14)*$L$9)+$L$10+$L$18</f>
        <v>671221.40421803342</v>
      </c>
      <c r="M645" s="37">
        <f ca="1">(RANDBETWEEN($E$14,$F$14)*$M$9)+$M$10+$M$18</f>
        <v>1043245.7659826493</v>
      </c>
      <c r="N645" s="37">
        <f t="shared" ref="N645" ca="1" si="610">NPV($E$23+$F$23,H645:M645)+$H$4</f>
        <v>912107.22314112843</v>
      </c>
    </row>
    <row r="646" spans="4:17" x14ac:dyDescent="0.25">
      <c r="D646" s="33"/>
      <c r="E646" s="33">
        <v>616</v>
      </c>
      <c r="F646" s="37"/>
      <c r="G646" s="37"/>
      <c r="H646" s="37">
        <f t="shared" si="505"/>
        <v>868800</v>
      </c>
      <c r="I646" s="37">
        <f ca="1">(RANDBETWEEN($E$14,$F$14)*$I$9)+$I$10+$I$18</f>
        <v>-189819.59895313275</v>
      </c>
      <c r="J646" s="37">
        <f ca="1">(RANDBETWEEN($E$14,$F$14)*$J$9)+$J$10+$J$18</f>
        <v>-9238.8910066427197</v>
      </c>
      <c r="K646" s="37">
        <f ca="1">(RANDBETWEEN($E$14,$F$14)*$K$9)+$K$10+$K$18</f>
        <v>24363.532183028292</v>
      </c>
      <c r="L646" s="37">
        <f ca="1">(RANDBETWEEN($E$14,$F$14)*$L$9)+$L$10+$L$18</f>
        <v>999716.39339203853</v>
      </c>
      <c r="M646" s="37">
        <f ca="1">(RANDBETWEEN($E$14,$F$14)*$M$9)+$M$10+$M$18</f>
        <v>1424944.0925515993</v>
      </c>
      <c r="N646" s="37">
        <f t="shared" ref="N646" ca="1" si="611">NPV($E$23+$F$23,H646:M646)+$H$4</f>
        <v>1454320.8108689203</v>
      </c>
    </row>
    <row r="647" spans="4:17" x14ac:dyDescent="0.25">
      <c r="D647" s="33"/>
      <c r="E647" s="33">
        <v>617</v>
      </c>
      <c r="F647" s="37"/>
      <c r="G647" s="37"/>
      <c r="H647" s="37">
        <f t="shared" si="505"/>
        <v>868800</v>
      </c>
      <c r="I647" s="37">
        <f ca="1">(RANDBETWEEN($E$14,$F$14)*$I$9)+$I$10+$I$18</f>
        <v>-369472.96408399101</v>
      </c>
      <c r="J647" s="37">
        <f ca="1">(RANDBETWEEN($E$14,$F$14)*$J$9)+$J$10+$J$18</f>
        <v>-9238.8910066427197</v>
      </c>
      <c r="K647" s="37">
        <f ca="1">(RANDBETWEEN($E$14,$F$14)*$K$9)+$K$10+$K$18</f>
        <v>260393.25392346107</v>
      </c>
      <c r="L647" s="37">
        <f ca="1">(RANDBETWEEN($E$14,$F$14)*$L$9)+$L$10+$L$18</f>
        <v>671221.40421803342</v>
      </c>
      <c r="M647" s="37">
        <f ca="1">(RANDBETWEEN($E$14,$F$14)*$M$9)+$M$10+$M$18</f>
        <v>1424944.0925515993</v>
      </c>
      <c r="N647" s="37">
        <f t="shared" ref="N647" ca="1" si="612">NPV($E$23+$F$23,H647:M647)+$H$4</f>
        <v>1228167.7294197315</v>
      </c>
    </row>
    <row r="648" spans="4:17" x14ac:dyDescent="0.25">
      <c r="D648" s="33"/>
      <c r="E648" s="33">
        <v>618</v>
      </c>
      <c r="F648" s="37"/>
      <c r="G648" s="37"/>
      <c r="H648" s="37">
        <f t="shared" si="505"/>
        <v>868800</v>
      </c>
      <c r="I648" s="37">
        <f ca="1">(RANDBETWEEN($E$14,$F$14)*$I$9)+$I$10+$I$18</f>
        <v>-369472.96408399101</v>
      </c>
      <c r="J648" s="37">
        <f ca="1">(RANDBETWEEN($E$14,$F$14)*$J$9)+$J$10+$J$18</f>
        <v>221933.48456383706</v>
      </c>
      <c r="K648" s="37">
        <f ca="1">(RANDBETWEEN($E$14,$F$14)*$K$9)+$K$10+$K$18</f>
        <v>24363.532183028292</v>
      </c>
      <c r="L648" s="37">
        <f ca="1">(RANDBETWEEN($E$14,$F$14)*$L$9)+$L$10+$L$18</f>
        <v>671221.40421803342</v>
      </c>
      <c r="M648" s="37">
        <f ca="1">(RANDBETWEEN($E$14,$F$14)*$M$9)+$M$10+$M$18</f>
        <v>1043245.7659826493</v>
      </c>
      <c r="N648" s="37">
        <f t="shared" ref="N648" ca="1" si="613">NPV($E$23+$F$23,H648:M648)+$H$4</f>
        <v>948851.71482287208</v>
      </c>
    </row>
    <row r="649" spans="4:17" x14ac:dyDescent="0.25">
      <c r="D649" s="33"/>
      <c r="E649" s="33">
        <v>619</v>
      </c>
      <c r="F649" s="37"/>
      <c r="G649" s="37"/>
      <c r="H649" s="37">
        <f t="shared" si="505"/>
        <v>868800</v>
      </c>
      <c r="I649" s="37">
        <f ca="1">(RANDBETWEEN($E$14,$F$14)*$I$9)+$I$10+$I$18</f>
        <v>-369472.96408399101</v>
      </c>
      <c r="J649" s="37">
        <f ca="1">(RANDBETWEEN($E$14,$F$14)*$J$9)+$J$10+$J$18</f>
        <v>221933.48456383706</v>
      </c>
      <c r="K649" s="37">
        <f ca="1">(RANDBETWEEN($E$14,$F$14)*$K$9)+$K$10+$K$18</f>
        <v>260393.25392346107</v>
      </c>
      <c r="L649" s="37">
        <f ca="1">(RANDBETWEEN($E$14,$F$14)*$L$9)+$L$10+$L$18</f>
        <v>999716.39339203853</v>
      </c>
      <c r="M649" s="37">
        <f ca="1">(RANDBETWEEN($E$14,$F$14)*$M$9)+$M$10+$M$18</f>
        <v>1043245.7659826493</v>
      </c>
      <c r="N649" s="37">
        <f t="shared" ref="N649" ca="1" si="614">NPV($E$23+$F$23,H649:M649)+$H$4</f>
        <v>1400418.3705947716</v>
      </c>
    </row>
    <row r="650" spans="4:17" x14ac:dyDescent="0.25">
      <c r="D650" s="33"/>
      <c r="E650" s="33">
        <v>620</v>
      </c>
      <c r="F650" s="37"/>
      <c r="G650" s="37"/>
      <c r="H650" s="37">
        <f t="shared" si="505"/>
        <v>868800</v>
      </c>
      <c r="I650" s="37">
        <f ca="1">(RANDBETWEEN($E$14,$F$14)*$I$9)+$I$10+$I$18</f>
        <v>-189819.59895313275</v>
      </c>
      <c r="J650" s="37">
        <f ca="1">(RANDBETWEEN($E$14,$F$14)*$J$9)+$J$10+$J$18</f>
        <v>221933.48456383706</v>
      </c>
      <c r="K650" s="37">
        <f ca="1">(RANDBETWEEN($E$14,$F$14)*$K$9)+$K$10+$K$18</f>
        <v>260393.25392346107</v>
      </c>
      <c r="L650" s="37">
        <f ca="1">(RANDBETWEEN($E$14,$F$14)*$L$9)+$L$10+$L$18</f>
        <v>999716.39339203853</v>
      </c>
      <c r="M650" s="37">
        <f ca="1">(RANDBETWEEN($E$14,$F$14)*$M$9)+$M$10+$M$18</f>
        <v>1043245.7659826493</v>
      </c>
      <c r="N650" s="37">
        <f t="shared" ref="N650" ca="1" si="615">NPV($E$23+$F$23,H650:M650)+$H$4</f>
        <v>1563369.2686726474</v>
      </c>
      <c r="Q650" s="37"/>
    </row>
    <row r="651" spans="4:17" x14ac:dyDescent="0.25">
      <c r="D651" s="33"/>
      <c r="E651" s="33">
        <v>621</v>
      </c>
      <c r="F651" s="37"/>
      <c r="G651" s="37"/>
      <c r="H651" s="37">
        <f t="shared" si="505"/>
        <v>868800</v>
      </c>
      <c r="I651" s="37">
        <f ca="1">(RANDBETWEEN($E$14,$F$14)*$I$9)+$I$10+$I$18</f>
        <v>-189819.59895313275</v>
      </c>
      <c r="J651" s="37">
        <f ca="1">(RANDBETWEEN($E$14,$F$14)*$J$9)+$J$10+$J$18</f>
        <v>-9238.8910066427197</v>
      </c>
      <c r="K651" s="37">
        <f ca="1">(RANDBETWEEN($E$14,$F$14)*$K$9)+$K$10+$K$18</f>
        <v>24363.532183028292</v>
      </c>
      <c r="L651" s="37">
        <f ca="1">(RANDBETWEEN($E$14,$F$14)*$L$9)+$L$10+$L$18</f>
        <v>999716.39339203853</v>
      </c>
      <c r="M651" s="37">
        <f ca="1">(RANDBETWEEN($E$14,$F$14)*$M$9)+$M$10+$M$18</f>
        <v>1424944.0925515993</v>
      </c>
      <c r="N651" s="37">
        <f t="shared" ref="N651" ca="1" si="616">NPV($E$23+$F$23,H651:M651)+$H$4</f>
        <v>1454320.8108689203</v>
      </c>
      <c r="Q651" s="37"/>
    </row>
    <row r="652" spans="4:17" x14ac:dyDescent="0.25">
      <c r="D652" s="33"/>
      <c r="E652" s="33">
        <v>622</v>
      </c>
      <c r="F652" s="37"/>
      <c r="G652" s="37"/>
      <c r="H652" s="37">
        <f t="shared" si="505"/>
        <v>868800</v>
      </c>
      <c r="I652" s="37">
        <f ca="1">(RANDBETWEEN($E$14,$F$14)*$I$9)+$I$10+$I$18</f>
        <v>-369472.96408399101</v>
      </c>
      <c r="J652" s="37">
        <f ca="1">(RANDBETWEEN($E$14,$F$14)*$J$9)+$J$10+$J$18</f>
        <v>221933.48456383706</v>
      </c>
      <c r="K652" s="37">
        <f ca="1">(RANDBETWEEN($E$14,$F$14)*$K$9)+$K$10+$K$18</f>
        <v>24363.532183028292</v>
      </c>
      <c r="L652" s="37">
        <f ca="1">(RANDBETWEEN($E$14,$F$14)*$L$9)+$L$10+$L$18</f>
        <v>671221.40421803342</v>
      </c>
      <c r="M652" s="37">
        <f ca="1">(RANDBETWEEN($E$14,$F$14)*$M$9)+$M$10+$M$18</f>
        <v>1424944.0925515993</v>
      </c>
      <c r="N652" s="37">
        <f t="shared" ref="N652" ca="1" si="617">NPV($E$23+$F$23,H652:M652)+$H$4</f>
        <v>1233680.8829790577</v>
      </c>
    </row>
    <row r="653" spans="4:17" x14ac:dyDescent="0.25">
      <c r="D653" s="33"/>
      <c r="E653" s="33">
        <v>623</v>
      </c>
      <c r="F653" s="37"/>
      <c r="G653" s="37"/>
      <c r="H653" s="37">
        <f t="shared" si="505"/>
        <v>868800</v>
      </c>
      <c r="I653" s="37">
        <f ca="1">(RANDBETWEEN($E$14,$F$14)*$I$9)+$I$10+$I$18</f>
        <v>-369472.96408399101</v>
      </c>
      <c r="J653" s="37">
        <f ca="1">(RANDBETWEEN($E$14,$F$14)*$J$9)+$J$10+$J$18</f>
        <v>-9238.8910066427197</v>
      </c>
      <c r="K653" s="37">
        <f ca="1">(RANDBETWEEN($E$14,$F$14)*$K$9)+$K$10+$K$18</f>
        <v>260393.25392346107</v>
      </c>
      <c r="L653" s="37">
        <f ca="1">(RANDBETWEEN($E$14,$F$14)*$L$9)+$L$10+$L$18</f>
        <v>999716.39339203853</v>
      </c>
      <c r="M653" s="37">
        <f ca="1">(RANDBETWEEN($E$14,$F$14)*$M$9)+$M$10+$M$18</f>
        <v>1043245.7659826493</v>
      </c>
      <c r="N653" s="37">
        <f t="shared" ref="N653" ca="1" si="618">NPV($E$23+$F$23,H653:M653)+$H$4</f>
        <v>1200722.9808351514</v>
      </c>
    </row>
    <row r="654" spans="4:17" x14ac:dyDescent="0.25">
      <c r="D654" s="33"/>
      <c r="E654" s="33">
        <v>624</v>
      </c>
      <c r="F654" s="37"/>
      <c r="G654" s="37"/>
      <c r="H654" s="37">
        <f t="shared" si="505"/>
        <v>868800</v>
      </c>
      <c r="I654" s="37">
        <f ca="1">(RANDBETWEEN($E$14,$F$14)*$I$9)+$I$10+$I$18</f>
        <v>-369472.96408399101</v>
      </c>
      <c r="J654" s="37">
        <f ca="1">(RANDBETWEEN($E$14,$F$14)*$J$9)+$J$10+$J$18</f>
        <v>221933.48456383706</v>
      </c>
      <c r="K654" s="37">
        <f ca="1">(RANDBETWEEN($E$14,$F$14)*$K$9)+$K$10+$K$18</f>
        <v>260393.25392346107</v>
      </c>
      <c r="L654" s="37">
        <f ca="1">(RANDBETWEEN($E$14,$F$14)*$L$9)+$L$10+$L$18</f>
        <v>999716.39339203853</v>
      </c>
      <c r="M654" s="37">
        <f ca="1">(RANDBETWEEN($E$14,$F$14)*$M$9)+$M$10+$M$18</f>
        <v>1424944.0925515993</v>
      </c>
      <c r="N654" s="37">
        <f t="shared" ref="N654" ca="1" si="619">NPV($E$23+$F$23,H654:M654)+$H$4</f>
        <v>1685247.5387509572</v>
      </c>
    </row>
    <row r="655" spans="4:17" x14ac:dyDescent="0.25">
      <c r="D655" s="33"/>
      <c r="E655" s="33">
        <v>625</v>
      </c>
      <c r="F655" s="37"/>
      <c r="G655" s="37"/>
      <c r="H655" s="37">
        <f t="shared" si="505"/>
        <v>868800</v>
      </c>
      <c r="I655" s="37">
        <f ca="1">(RANDBETWEEN($E$14,$F$14)*$I$9)+$I$10+$I$18</f>
        <v>-189819.59895313275</v>
      </c>
      <c r="J655" s="37">
        <f ca="1">(RANDBETWEEN($E$14,$F$14)*$J$9)+$J$10+$J$18</f>
        <v>221933.48456383706</v>
      </c>
      <c r="K655" s="37">
        <f ca="1">(RANDBETWEEN($E$14,$F$14)*$K$9)+$K$10+$K$18</f>
        <v>24363.532183028292</v>
      </c>
      <c r="L655" s="37">
        <f ca="1">(RANDBETWEEN($E$14,$F$14)*$L$9)+$L$10+$L$18</f>
        <v>999716.39339203853</v>
      </c>
      <c r="M655" s="37">
        <f ca="1">(RANDBETWEEN($E$14,$F$14)*$M$9)+$M$10+$M$18</f>
        <v>1043245.7659826493</v>
      </c>
      <c r="N655" s="37">
        <f t="shared" ref="N655" ca="1" si="620">NPV($E$23+$F$23,H655:M655)+$H$4</f>
        <v>1369187.0324723539</v>
      </c>
    </row>
    <row r="656" spans="4:17" x14ac:dyDescent="0.25">
      <c r="D656" s="33"/>
      <c r="E656" s="33">
        <v>626</v>
      </c>
      <c r="F656" s="37"/>
      <c r="G656" s="37"/>
      <c r="H656" s="37">
        <f t="shared" si="505"/>
        <v>868800</v>
      </c>
      <c r="I656" s="37">
        <f ca="1">(RANDBETWEEN($E$14,$F$14)*$I$9)+$I$10+$I$18</f>
        <v>-369472.96408399101</v>
      </c>
      <c r="J656" s="37">
        <f ca="1">(RANDBETWEEN($E$14,$F$14)*$J$9)+$J$10+$J$18</f>
        <v>-9238.8910066427197</v>
      </c>
      <c r="K656" s="37">
        <f ca="1">(RANDBETWEEN($E$14,$F$14)*$K$9)+$K$10+$K$18</f>
        <v>24363.532183028292</v>
      </c>
      <c r="L656" s="37">
        <f ca="1">(RANDBETWEEN($E$14,$F$14)*$L$9)+$L$10+$L$18</f>
        <v>671221.40421803342</v>
      </c>
      <c r="M656" s="37">
        <f ca="1">(RANDBETWEEN($E$14,$F$14)*$M$9)+$M$10+$M$18</f>
        <v>1043245.7659826493</v>
      </c>
      <c r="N656" s="37">
        <f t="shared" ref="N656" ca="1" si="621">NPV($E$23+$F$23,H656:M656)+$H$4</f>
        <v>749156.32506325236</v>
      </c>
    </row>
    <row r="657" spans="4:17" x14ac:dyDescent="0.25">
      <c r="D657" s="33"/>
      <c r="E657" s="33">
        <v>627</v>
      </c>
      <c r="F657" s="37"/>
      <c r="G657" s="37"/>
      <c r="H657" s="37">
        <f t="shared" si="505"/>
        <v>868800</v>
      </c>
      <c r="I657" s="37">
        <f ca="1">(RANDBETWEEN($E$14,$F$14)*$I$9)+$I$10+$I$18</f>
        <v>-189819.59895313275</v>
      </c>
      <c r="J657" s="37">
        <f ca="1">(RANDBETWEEN($E$14,$F$14)*$J$9)+$J$10+$J$18</f>
        <v>221933.48456383706</v>
      </c>
      <c r="K657" s="37">
        <f ca="1">(RANDBETWEEN($E$14,$F$14)*$K$9)+$K$10+$K$18</f>
        <v>260393.25392346107</v>
      </c>
      <c r="L657" s="37">
        <f ca="1">(RANDBETWEEN($E$14,$F$14)*$L$9)+$L$10+$L$18</f>
        <v>999716.39339203853</v>
      </c>
      <c r="M657" s="37">
        <f ca="1">(RANDBETWEEN($E$14,$F$14)*$M$9)+$M$10+$M$18</f>
        <v>1043245.7659826493</v>
      </c>
      <c r="N657" s="37">
        <f t="shared" ref="N657" ca="1" si="622">NPV($E$23+$F$23,H657:M657)+$H$4</f>
        <v>1563369.2686726474</v>
      </c>
    </row>
    <row r="658" spans="4:17" x14ac:dyDescent="0.25">
      <c r="D658" s="33"/>
      <c r="E658" s="33">
        <v>628</v>
      </c>
      <c r="F658" s="37"/>
      <c r="G658" s="37"/>
      <c r="H658" s="37">
        <f t="shared" si="505"/>
        <v>868800</v>
      </c>
      <c r="I658" s="37">
        <f ca="1">(RANDBETWEEN($E$14,$F$14)*$I$9)+$I$10+$I$18</f>
        <v>-369472.96408399101</v>
      </c>
      <c r="J658" s="37">
        <f ca="1">(RANDBETWEEN($E$14,$F$14)*$J$9)+$J$10+$J$18</f>
        <v>221933.48456383706</v>
      </c>
      <c r="K658" s="37">
        <f ca="1">(RANDBETWEEN($E$14,$F$14)*$K$9)+$K$10+$K$18</f>
        <v>260393.25392346107</v>
      </c>
      <c r="L658" s="37">
        <f ca="1">(RANDBETWEEN($E$14,$F$14)*$L$9)+$L$10+$L$18</f>
        <v>999716.39339203853</v>
      </c>
      <c r="M658" s="37">
        <f ca="1">(RANDBETWEEN($E$14,$F$14)*$M$9)+$M$10+$M$18</f>
        <v>1424944.0925515993</v>
      </c>
      <c r="N658" s="37">
        <f t="shared" ref="N658" ca="1" si="623">NPV($E$23+$F$23,H658:M658)+$H$4</f>
        <v>1685247.5387509572</v>
      </c>
    </row>
    <row r="659" spans="4:17" x14ac:dyDescent="0.25">
      <c r="D659" s="33"/>
      <c r="E659" s="33">
        <v>629</v>
      </c>
      <c r="F659" s="37"/>
      <c r="G659" s="37"/>
      <c r="H659" s="37">
        <f t="shared" si="505"/>
        <v>868800</v>
      </c>
      <c r="I659" s="37">
        <f ca="1">(RANDBETWEEN($E$14,$F$14)*$I$9)+$I$10+$I$18</f>
        <v>-369472.96408399101</v>
      </c>
      <c r="J659" s="37">
        <f ca="1">(RANDBETWEEN($E$14,$F$14)*$J$9)+$J$10+$J$18</f>
        <v>-9238.8910066427197</v>
      </c>
      <c r="K659" s="37">
        <f ca="1">(RANDBETWEEN($E$14,$F$14)*$K$9)+$K$10+$K$18</f>
        <v>24363.532183028292</v>
      </c>
      <c r="L659" s="37">
        <f ca="1">(RANDBETWEEN($E$14,$F$14)*$L$9)+$L$10+$L$18</f>
        <v>999716.39339203853</v>
      </c>
      <c r="M659" s="37">
        <f ca="1">(RANDBETWEEN($E$14,$F$14)*$M$9)+$M$10+$M$18</f>
        <v>1043245.7659826493</v>
      </c>
      <c r="N659" s="37">
        <f t="shared" ref="N659" ca="1" si="624">NPV($E$23+$F$23,H659:M659)+$H$4</f>
        <v>1006540.7446348586</v>
      </c>
    </row>
    <row r="660" spans="4:17" x14ac:dyDescent="0.25">
      <c r="D660" s="33"/>
      <c r="E660" s="33">
        <v>630</v>
      </c>
      <c r="F660" s="37"/>
      <c r="G660" s="37"/>
      <c r="H660" s="37">
        <f t="shared" si="505"/>
        <v>868800</v>
      </c>
      <c r="I660" s="37">
        <f ca="1">(RANDBETWEEN($E$14,$F$14)*$I$9)+$I$10+$I$18</f>
        <v>-369472.96408399101</v>
      </c>
      <c r="J660" s="37">
        <f ca="1">(RANDBETWEEN($E$14,$F$14)*$J$9)+$J$10+$J$18</f>
        <v>221933.48456383706</v>
      </c>
      <c r="K660" s="37">
        <f ca="1">(RANDBETWEEN($E$14,$F$14)*$K$9)+$K$10+$K$18</f>
        <v>260393.25392346107</v>
      </c>
      <c r="L660" s="37">
        <f ca="1">(RANDBETWEEN($E$14,$F$14)*$L$9)+$L$10+$L$18</f>
        <v>999716.39339203853</v>
      </c>
      <c r="M660" s="37">
        <f ca="1">(RANDBETWEEN($E$14,$F$14)*$M$9)+$M$10+$M$18</f>
        <v>1424944.0925515993</v>
      </c>
      <c r="N660" s="37">
        <f t="shared" ref="N660" ca="1" si="625">NPV($E$23+$F$23,H660:M660)+$H$4</f>
        <v>1685247.5387509572</v>
      </c>
    </row>
    <row r="661" spans="4:17" x14ac:dyDescent="0.25">
      <c r="D661" s="33"/>
      <c r="E661" s="33">
        <v>631</v>
      </c>
      <c r="F661" s="37"/>
      <c r="G661" s="37"/>
      <c r="H661" s="37">
        <f t="shared" si="505"/>
        <v>868800</v>
      </c>
      <c r="I661" s="37">
        <f ca="1">(RANDBETWEEN($E$14,$F$14)*$I$9)+$I$10+$I$18</f>
        <v>-189819.59895313275</v>
      </c>
      <c r="J661" s="37">
        <f ca="1">(RANDBETWEEN($E$14,$F$14)*$J$9)+$J$10+$J$18</f>
        <v>221933.48456383706</v>
      </c>
      <c r="K661" s="37">
        <f ca="1">(RANDBETWEEN($E$14,$F$14)*$K$9)+$K$10+$K$18</f>
        <v>24363.532183028292</v>
      </c>
      <c r="L661" s="37">
        <f ca="1">(RANDBETWEEN($E$14,$F$14)*$L$9)+$L$10+$L$18</f>
        <v>671221.40421803342</v>
      </c>
      <c r="M661" s="37">
        <f ca="1">(RANDBETWEEN($E$14,$F$14)*$M$9)+$M$10+$M$18</f>
        <v>1043245.7659826493</v>
      </c>
      <c r="N661" s="37">
        <f t="shared" ref="N661" ca="1" si="626">NPV($E$23+$F$23,H661:M661)+$H$4</f>
        <v>1111802.6129007479</v>
      </c>
    </row>
    <row r="662" spans="4:17" x14ac:dyDescent="0.25">
      <c r="D662" s="33"/>
      <c r="E662" s="33">
        <v>632</v>
      </c>
      <c r="F662" s="37"/>
      <c r="G662" s="37"/>
      <c r="H662" s="37">
        <f t="shared" si="505"/>
        <v>868800</v>
      </c>
      <c r="I662" s="37">
        <f ca="1">(RANDBETWEEN($E$14,$F$14)*$I$9)+$I$10+$I$18</f>
        <v>-369472.96408399101</v>
      </c>
      <c r="J662" s="37">
        <f ca="1">(RANDBETWEEN($E$14,$F$14)*$J$9)+$J$10+$J$18</f>
        <v>-9238.8910066427197</v>
      </c>
      <c r="K662" s="37">
        <f ca="1">(RANDBETWEEN($E$14,$F$14)*$K$9)+$K$10+$K$18</f>
        <v>24363.532183028292</v>
      </c>
      <c r="L662" s="37">
        <f ca="1">(RANDBETWEEN($E$14,$F$14)*$L$9)+$L$10+$L$18</f>
        <v>671221.40421803342</v>
      </c>
      <c r="M662" s="37">
        <f ca="1">(RANDBETWEEN($E$14,$F$14)*$M$9)+$M$10+$M$18</f>
        <v>1424944.0925515993</v>
      </c>
      <c r="N662" s="37">
        <f t="shared" ref="N662" ca="1" si="627">NPV($E$23+$F$23,H662:M662)+$H$4</f>
        <v>1033985.4932194382</v>
      </c>
    </row>
    <row r="663" spans="4:17" x14ac:dyDescent="0.25">
      <c r="D663" s="33"/>
      <c r="E663" s="33">
        <v>633</v>
      </c>
      <c r="F663" s="37"/>
      <c r="G663" s="37"/>
      <c r="H663" s="37">
        <f t="shared" si="505"/>
        <v>868800</v>
      </c>
      <c r="I663" s="37">
        <f ca="1">(RANDBETWEEN($E$14,$F$14)*$I$9)+$I$10+$I$18</f>
        <v>-369472.96408399101</v>
      </c>
      <c r="J663" s="37">
        <f ca="1">(RANDBETWEEN($E$14,$F$14)*$J$9)+$J$10+$J$18</f>
        <v>221933.48456383706</v>
      </c>
      <c r="K663" s="37">
        <f ca="1">(RANDBETWEEN($E$14,$F$14)*$K$9)+$K$10+$K$18</f>
        <v>24363.532183028292</v>
      </c>
      <c r="L663" s="37">
        <f ca="1">(RANDBETWEEN($E$14,$F$14)*$L$9)+$L$10+$L$18</f>
        <v>671221.40421803342</v>
      </c>
      <c r="M663" s="37">
        <f ca="1">(RANDBETWEEN($E$14,$F$14)*$M$9)+$M$10+$M$18</f>
        <v>1043245.7659826493</v>
      </c>
      <c r="N663" s="37">
        <f t="shared" ref="N663" ca="1" si="628">NPV($E$23+$F$23,H663:M663)+$H$4</f>
        <v>948851.71482287208</v>
      </c>
    </row>
    <row r="664" spans="4:17" x14ac:dyDescent="0.25">
      <c r="D664" s="33"/>
      <c r="E664" s="33">
        <v>634</v>
      </c>
      <c r="F664" s="37"/>
      <c r="G664" s="37"/>
      <c r="H664" s="37">
        <f t="shared" si="505"/>
        <v>868800</v>
      </c>
      <c r="I664" s="37">
        <f ca="1">(RANDBETWEEN($E$14,$F$14)*$I$9)+$I$10+$I$18</f>
        <v>-189819.59895313275</v>
      </c>
      <c r="J664" s="37">
        <f ca="1">(RANDBETWEEN($E$14,$F$14)*$J$9)+$J$10+$J$18</f>
        <v>221933.48456383706</v>
      </c>
      <c r="K664" s="37">
        <f ca="1">(RANDBETWEEN($E$14,$F$14)*$K$9)+$K$10+$K$18</f>
        <v>260393.25392346107</v>
      </c>
      <c r="L664" s="37">
        <f ca="1">(RANDBETWEEN($E$14,$F$14)*$L$9)+$L$10+$L$18</f>
        <v>999716.39339203853</v>
      </c>
      <c r="M664" s="37">
        <f ca="1">(RANDBETWEEN($E$14,$F$14)*$M$9)+$M$10+$M$18</f>
        <v>1424944.0925515993</v>
      </c>
      <c r="N664" s="37">
        <f t="shared" ref="N664" ca="1" si="629">NPV($E$23+$F$23,H664:M664)+$H$4</f>
        <v>1848198.4368288331</v>
      </c>
    </row>
    <row r="665" spans="4:17" x14ac:dyDescent="0.25">
      <c r="D665" s="33"/>
      <c r="E665" s="33">
        <v>635</v>
      </c>
      <c r="F665" s="37"/>
      <c r="G665" s="37"/>
      <c r="H665" s="37">
        <f t="shared" si="505"/>
        <v>868800</v>
      </c>
      <c r="I665" s="37">
        <f ca="1">(RANDBETWEEN($E$14,$F$14)*$I$9)+$I$10+$I$18</f>
        <v>-189819.59895313275</v>
      </c>
      <c r="J665" s="37">
        <f ca="1">(RANDBETWEEN($E$14,$F$14)*$J$9)+$J$10+$J$18</f>
        <v>221933.48456383706</v>
      </c>
      <c r="K665" s="37">
        <f ca="1">(RANDBETWEEN($E$14,$F$14)*$K$9)+$K$10+$K$18</f>
        <v>24363.532183028292</v>
      </c>
      <c r="L665" s="37">
        <f ca="1">(RANDBETWEEN($E$14,$F$14)*$L$9)+$L$10+$L$18</f>
        <v>999716.39339203853</v>
      </c>
      <c r="M665" s="37">
        <f ca="1">(RANDBETWEEN($E$14,$F$14)*$M$9)+$M$10+$M$18</f>
        <v>1043245.7659826493</v>
      </c>
      <c r="N665" s="37">
        <f t="shared" ref="N665" ca="1" si="630">NPV($E$23+$F$23,H665:M665)+$H$4</f>
        <v>1369187.0324723539</v>
      </c>
    </row>
    <row r="666" spans="4:17" x14ac:dyDescent="0.25">
      <c r="D666" s="33"/>
      <c r="E666" s="33">
        <v>636</v>
      </c>
      <c r="F666" s="37"/>
      <c r="G666" s="37"/>
      <c r="H666" s="37">
        <f t="shared" si="505"/>
        <v>868800</v>
      </c>
      <c r="I666" s="37">
        <f ca="1">(RANDBETWEEN($E$14,$F$14)*$I$9)+$I$10+$I$18</f>
        <v>-189819.59895313275</v>
      </c>
      <c r="J666" s="37">
        <f ca="1">(RANDBETWEEN($E$14,$F$14)*$J$9)+$J$10+$J$18</f>
        <v>-9238.8910066427197</v>
      </c>
      <c r="K666" s="37">
        <f ca="1">(RANDBETWEEN($E$14,$F$14)*$K$9)+$K$10+$K$18</f>
        <v>24363.532183028292</v>
      </c>
      <c r="L666" s="37">
        <f ca="1">(RANDBETWEEN($E$14,$F$14)*$L$9)+$L$10+$L$18</f>
        <v>671221.40421803342</v>
      </c>
      <c r="M666" s="37">
        <f ca="1">(RANDBETWEEN($E$14,$F$14)*$M$9)+$M$10+$M$18</f>
        <v>1424944.0925515993</v>
      </c>
      <c r="N666" s="37">
        <f t="shared" ref="N666" ca="1" si="631">NPV($E$23+$F$23,H666:M666)+$H$4</f>
        <v>1196936.3912973143</v>
      </c>
    </row>
    <row r="667" spans="4:17" x14ac:dyDescent="0.25">
      <c r="D667" s="33"/>
      <c r="E667" s="33">
        <v>637</v>
      </c>
      <c r="F667" s="37"/>
      <c r="G667" s="37"/>
      <c r="H667" s="37">
        <f t="shared" si="505"/>
        <v>868800</v>
      </c>
      <c r="I667" s="37">
        <f ca="1">(RANDBETWEEN($E$14,$F$14)*$I$9)+$I$10+$I$18</f>
        <v>-369472.96408399101</v>
      </c>
      <c r="J667" s="37">
        <f ca="1">(RANDBETWEEN($E$14,$F$14)*$J$9)+$J$10+$J$18</f>
        <v>-9238.8910066427197</v>
      </c>
      <c r="K667" s="37">
        <f ca="1">(RANDBETWEEN($E$14,$F$14)*$K$9)+$K$10+$K$18</f>
        <v>260393.25392346107</v>
      </c>
      <c r="L667" s="37">
        <f ca="1">(RANDBETWEEN($E$14,$F$14)*$L$9)+$L$10+$L$18</f>
        <v>999716.39339203853</v>
      </c>
      <c r="M667" s="37">
        <f ca="1">(RANDBETWEEN($E$14,$F$14)*$M$9)+$M$10+$M$18</f>
        <v>1424944.0925515993</v>
      </c>
      <c r="N667" s="37">
        <f t="shared" ref="N667" ca="1" si="632">NPV($E$23+$F$23,H667:M667)+$H$4</f>
        <v>1485552.1489913375</v>
      </c>
      <c r="Q667" s="37"/>
    </row>
    <row r="668" spans="4:17" x14ac:dyDescent="0.25">
      <c r="D668" s="33"/>
      <c r="E668" s="33">
        <v>638</v>
      </c>
      <c r="F668" s="37"/>
      <c r="G668" s="37"/>
      <c r="H668" s="37">
        <f t="shared" si="505"/>
        <v>868800</v>
      </c>
      <c r="I668" s="37">
        <f ca="1">(RANDBETWEEN($E$14,$F$14)*$I$9)+$I$10+$I$18</f>
        <v>-189819.59895313275</v>
      </c>
      <c r="J668" s="37">
        <f ca="1">(RANDBETWEEN($E$14,$F$14)*$J$9)+$J$10+$J$18</f>
        <v>221933.48456383706</v>
      </c>
      <c r="K668" s="37">
        <f ca="1">(RANDBETWEEN($E$14,$F$14)*$K$9)+$K$10+$K$18</f>
        <v>24363.532183028292</v>
      </c>
      <c r="L668" s="37">
        <f ca="1">(RANDBETWEEN($E$14,$F$14)*$L$9)+$L$10+$L$18</f>
        <v>671221.40421803342</v>
      </c>
      <c r="M668" s="37">
        <f ca="1">(RANDBETWEEN($E$14,$F$14)*$M$9)+$M$10+$M$18</f>
        <v>1043245.7659826493</v>
      </c>
      <c r="N668" s="37">
        <f t="shared" ref="N668" ca="1" si="633">NPV($E$23+$F$23,H668:M668)+$H$4</f>
        <v>1111802.6129007479</v>
      </c>
    </row>
    <row r="669" spans="4:17" x14ac:dyDescent="0.25">
      <c r="D669" s="33"/>
      <c r="E669" s="33">
        <v>639</v>
      </c>
      <c r="F669" s="37"/>
      <c r="G669" s="37"/>
      <c r="H669" s="37">
        <f t="shared" si="505"/>
        <v>868800</v>
      </c>
      <c r="I669" s="37">
        <f ca="1">(RANDBETWEEN($E$14,$F$14)*$I$9)+$I$10+$I$18</f>
        <v>-369472.96408399101</v>
      </c>
      <c r="J669" s="37">
        <f ca="1">(RANDBETWEEN($E$14,$F$14)*$J$9)+$J$10+$J$18</f>
        <v>221933.48456383706</v>
      </c>
      <c r="K669" s="37">
        <f ca="1">(RANDBETWEEN($E$14,$F$14)*$K$9)+$K$10+$K$18</f>
        <v>260393.25392346107</v>
      </c>
      <c r="L669" s="37">
        <f ca="1">(RANDBETWEEN($E$14,$F$14)*$L$9)+$L$10+$L$18</f>
        <v>999716.39339203853</v>
      </c>
      <c r="M669" s="37">
        <f ca="1">(RANDBETWEEN($E$14,$F$14)*$M$9)+$M$10+$M$18</f>
        <v>1043245.7659826493</v>
      </c>
      <c r="N669" s="37">
        <f t="shared" ref="N669" ca="1" si="634">NPV($E$23+$F$23,H669:M669)+$H$4</f>
        <v>1400418.3705947716</v>
      </c>
      <c r="Q669" s="37"/>
    </row>
    <row r="670" spans="4:17" x14ac:dyDescent="0.25">
      <c r="D670" s="33"/>
      <c r="E670" s="33">
        <v>640</v>
      </c>
      <c r="F670" s="37"/>
      <c r="G670" s="37"/>
      <c r="H670" s="37">
        <f t="shared" si="505"/>
        <v>868800</v>
      </c>
      <c r="I670" s="37">
        <f ca="1">(RANDBETWEEN($E$14,$F$14)*$I$9)+$I$10+$I$18</f>
        <v>-369472.96408399101</v>
      </c>
      <c r="J670" s="37">
        <f ca="1">(RANDBETWEEN($E$14,$F$14)*$J$9)+$J$10+$J$18</f>
        <v>221933.48456383706</v>
      </c>
      <c r="K670" s="37">
        <f ca="1">(RANDBETWEEN($E$14,$F$14)*$K$9)+$K$10+$K$18</f>
        <v>24363.532183028292</v>
      </c>
      <c r="L670" s="37">
        <f ca="1">(RANDBETWEEN($E$14,$F$14)*$L$9)+$L$10+$L$18</f>
        <v>999716.39339203853</v>
      </c>
      <c r="M670" s="37">
        <f ca="1">(RANDBETWEEN($E$14,$F$14)*$M$9)+$M$10+$M$18</f>
        <v>1043245.7659826493</v>
      </c>
      <c r="N670" s="37">
        <f t="shared" ref="N670" ca="1" si="635">NPV($E$23+$F$23,H670:M670)+$H$4</f>
        <v>1206236.1343944785</v>
      </c>
    </row>
    <row r="671" spans="4:17" x14ac:dyDescent="0.25">
      <c r="D671" s="33"/>
      <c r="E671" s="33">
        <v>641</v>
      </c>
      <c r="F671" s="37"/>
      <c r="G671" s="37"/>
      <c r="H671" s="37">
        <f t="shared" si="505"/>
        <v>868800</v>
      </c>
      <c r="I671" s="37">
        <f ca="1">(RANDBETWEEN($E$14,$F$14)*$I$9)+$I$10+$I$18</f>
        <v>-189819.59895313275</v>
      </c>
      <c r="J671" s="37">
        <f ca="1">(RANDBETWEEN($E$14,$F$14)*$J$9)+$J$10+$J$18</f>
        <v>-9238.8910066427197</v>
      </c>
      <c r="K671" s="37">
        <f ca="1">(RANDBETWEEN($E$14,$F$14)*$K$9)+$K$10+$K$18</f>
        <v>24363.532183028292</v>
      </c>
      <c r="L671" s="37">
        <f ca="1">(RANDBETWEEN($E$14,$F$14)*$L$9)+$L$10+$L$18</f>
        <v>671221.40421803342</v>
      </c>
      <c r="M671" s="37">
        <f ca="1">(RANDBETWEEN($E$14,$F$14)*$M$9)+$M$10+$M$18</f>
        <v>1043245.7659826493</v>
      </c>
      <c r="N671" s="37">
        <f t="shared" ref="N671" ca="1" si="636">NPV($E$23+$F$23,H671:M671)+$H$4</f>
        <v>912107.22314112843</v>
      </c>
    </row>
    <row r="672" spans="4:17" x14ac:dyDescent="0.25">
      <c r="D672" s="33"/>
      <c r="E672" s="33">
        <v>642</v>
      </c>
      <c r="F672" s="37"/>
      <c r="G672" s="37"/>
      <c r="H672" s="37">
        <f t="shared" si="505"/>
        <v>868800</v>
      </c>
      <c r="I672" s="37">
        <f ca="1">(RANDBETWEEN($E$14,$F$14)*$I$9)+$I$10+$I$18</f>
        <v>-189819.59895313275</v>
      </c>
      <c r="J672" s="37">
        <f ca="1">(RANDBETWEEN($E$14,$F$14)*$J$9)+$J$10+$J$18</f>
        <v>221933.48456383706</v>
      </c>
      <c r="K672" s="37">
        <f ca="1">(RANDBETWEEN($E$14,$F$14)*$K$9)+$K$10+$K$18</f>
        <v>260393.25392346107</v>
      </c>
      <c r="L672" s="37">
        <f ca="1">(RANDBETWEEN($E$14,$F$14)*$L$9)+$L$10+$L$18</f>
        <v>999716.39339203853</v>
      </c>
      <c r="M672" s="37">
        <f ca="1">(RANDBETWEEN($E$14,$F$14)*$M$9)+$M$10+$M$18</f>
        <v>1424944.0925515993</v>
      </c>
      <c r="N672" s="37">
        <f t="shared" ref="N672" ca="1" si="637">NPV($E$23+$F$23,H672:M672)+$H$4</f>
        <v>1848198.4368288331</v>
      </c>
    </row>
    <row r="673" spans="4:14" x14ac:dyDescent="0.25">
      <c r="D673" s="33"/>
      <c r="E673" s="33">
        <v>643</v>
      </c>
      <c r="F673" s="37"/>
      <c r="G673" s="37"/>
      <c r="H673" s="37">
        <f t="shared" si="505"/>
        <v>868800</v>
      </c>
      <c r="I673" s="37">
        <f ca="1">(RANDBETWEEN($E$14,$F$14)*$I$9)+$I$10+$I$18</f>
        <v>-369472.96408399101</v>
      </c>
      <c r="J673" s="37">
        <f ca="1">(RANDBETWEEN($E$14,$F$14)*$J$9)+$J$10+$J$18</f>
        <v>221933.48456383706</v>
      </c>
      <c r="K673" s="37">
        <f ca="1">(RANDBETWEEN($E$14,$F$14)*$K$9)+$K$10+$K$18</f>
        <v>24363.532183028292</v>
      </c>
      <c r="L673" s="37">
        <f ca="1">(RANDBETWEEN($E$14,$F$14)*$L$9)+$L$10+$L$18</f>
        <v>999716.39339203853</v>
      </c>
      <c r="M673" s="37">
        <f ca="1">(RANDBETWEEN($E$14,$F$14)*$M$9)+$M$10+$M$18</f>
        <v>1424944.0925515993</v>
      </c>
      <c r="N673" s="37">
        <f t="shared" ref="N673" ca="1" si="638">NPV($E$23+$F$23,H673:M673)+$H$4</f>
        <v>1491065.3025506642</v>
      </c>
    </row>
    <row r="674" spans="4:14" x14ac:dyDescent="0.25">
      <c r="D674" s="33"/>
      <c r="E674" s="33">
        <v>644</v>
      </c>
      <c r="F674" s="37"/>
      <c r="G674" s="37"/>
      <c r="H674" s="37">
        <f t="shared" si="505"/>
        <v>868800</v>
      </c>
      <c r="I674" s="37">
        <f ca="1">(RANDBETWEEN($E$14,$F$14)*$I$9)+$I$10+$I$18</f>
        <v>-369472.96408399101</v>
      </c>
      <c r="J674" s="37">
        <f ca="1">(RANDBETWEEN($E$14,$F$14)*$J$9)+$J$10+$J$18</f>
        <v>221933.48456383706</v>
      </c>
      <c r="K674" s="37">
        <f ca="1">(RANDBETWEEN($E$14,$F$14)*$K$9)+$K$10+$K$18</f>
        <v>260393.25392346107</v>
      </c>
      <c r="L674" s="37">
        <f ca="1">(RANDBETWEEN($E$14,$F$14)*$L$9)+$L$10+$L$18</f>
        <v>671221.40421803342</v>
      </c>
      <c r="M674" s="37">
        <f ca="1">(RANDBETWEEN($E$14,$F$14)*$M$9)+$M$10+$M$18</f>
        <v>1043245.7659826493</v>
      </c>
      <c r="N674" s="37">
        <f t="shared" ref="N674" ca="1" si="639">NPV($E$23+$F$23,H674:M674)+$H$4</f>
        <v>1143033.9510231656</v>
      </c>
    </row>
    <row r="675" spans="4:14" x14ac:dyDescent="0.25">
      <c r="D675" s="33"/>
      <c r="E675" s="33">
        <v>645</v>
      </c>
      <c r="F675" s="37"/>
      <c r="G675" s="37"/>
      <c r="H675" s="37">
        <f t="shared" si="505"/>
        <v>868800</v>
      </c>
      <c r="I675" s="37">
        <f ca="1">(RANDBETWEEN($E$14,$F$14)*$I$9)+$I$10+$I$18</f>
        <v>-189819.59895313275</v>
      </c>
      <c r="J675" s="37">
        <f ca="1">(RANDBETWEEN($E$14,$F$14)*$J$9)+$J$10+$J$18</f>
        <v>221933.48456383706</v>
      </c>
      <c r="K675" s="37">
        <f ca="1">(RANDBETWEEN($E$14,$F$14)*$K$9)+$K$10+$K$18</f>
        <v>24363.532183028292</v>
      </c>
      <c r="L675" s="37">
        <f ca="1">(RANDBETWEEN($E$14,$F$14)*$L$9)+$L$10+$L$18</f>
        <v>671221.40421803342</v>
      </c>
      <c r="M675" s="37">
        <f ca="1">(RANDBETWEEN($E$14,$F$14)*$M$9)+$M$10+$M$18</f>
        <v>1043245.7659826493</v>
      </c>
      <c r="N675" s="37">
        <f t="shared" ref="N675" ca="1" si="640">NPV($E$23+$F$23,H675:M675)+$H$4</f>
        <v>1111802.6129007479</v>
      </c>
    </row>
    <row r="676" spans="4:14" x14ac:dyDescent="0.25">
      <c r="D676" s="33"/>
      <c r="E676" s="33">
        <v>646</v>
      </c>
      <c r="F676" s="37"/>
      <c r="G676" s="37"/>
      <c r="H676" s="37">
        <f t="shared" si="505"/>
        <v>868800</v>
      </c>
      <c r="I676" s="37">
        <f ca="1">(RANDBETWEEN($E$14,$F$14)*$I$9)+$I$10+$I$18</f>
        <v>-189819.59895313275</v>
      </c>
      <c r="J676" s="37">
        <f ca="1">(RANDBETWEEN($E$14,$F$14)*$J$9)+$J$10+$J$18</f>
        <v>221933.48456383706</v>
      </c>
      <c r="K676" s="37">
        <f ca="1">(RANDBETWEEN($E$14,$F$14)*$K$9)+$K$10+$K$18</f>
        <v>260393.25392346107</v>
      </c>
      <c r="L676" s="37">
        <f ca="1">(RANDBETWEEN($E$14,$F$14)*$L$9)+$L$10+$L$18</f>
        <v>999716.39339203853</v>
      </c>
      <c r="M676" s="37">
        <f ca="1">(RANDBETWEEN($E$14,$F$14)*$M$9)+$M$10+$M$18</f>
        <v>1043245.7659826493</v>
      </c>
      <c r="N676" s="37">
        <f t="shared" ref="N676" ca="1" si="641">NPV($E$23+$F$23,H676:M676)+$H$4</f>
        <v>1563369.2686726474</v>
      </c>
    </row>
    <row r="677" spans="4:14" x14ac:dyDescent="0.25">
      <c r="D677" s="33"/>
      <c r="E677" s="33">
        <v>647</v>
      </c>
      <c r="F677" s="37"/>
      <c r="G677" s="37"/>
      <c r="H677" s="37">
        <f t="shared" si="505"/>
        <v>868800</v>
      </c>
      <c r="I677" s="37">
        <f ca="1">(RANDBETWEEN($E$14,$F$14)*$I$9)+$I$10+$I$18</f>
        <v>-189819.59895313275</v>
      </c>
      <c r="J677" s="37">
        <f ca="1">(RANDBETWEEN($E$14,$F$14)*$J$9)+$J$10+$J$18</f>
        <v>-9238.8910066427197</v>
      </c>
      <c r="K677" s="37">
        <f ca="1">(RANDBETWEEN($E$14,$F$14)*$K$9)+$K$10+$K$18</f>
        <v>260393.25392346107</v>
      </c>
      <c r="L677" s="37">
        <f ca="1">(RANDBETWEEN($E$14,$F$14)*$L$9)+$L$10+$L$18</f>
        <v>671221.40421803342</v>
      </c>
      <c r="M677" s="37">
        <f ca="1">(RANDBETWEEN($E$14,$F$14)*$M$9)+$M$10+$M$18</f>
        <v>1043245.7659826493</v>
      </c>
      <c r="N677" s="37">
        <f t="shared" ref="N677" ca="1" si="642">NPV($E$23+$F$23,H677:M677)+$H$4</f>
        <v>1106289.4593414213</v>
      </c>
    </row>
    <row r="678" spans="4:14" x14ac:dyDescent="0.25">
      <c r="D678" s="33"/>
      <c r="E678" s="33">
        <v>648</v>
      </c>
      <c r="F678" s="37"/>
      <c r="G678" s="37"/>
      <c r="H678" s="37">
        <f t="shared" si="505"/>
        <v>868800</v>
      </c>
      <c r="I678" s="37">
        <f ca="1">(RANDBETWEEN($E$14,$F$14)*$I$9)+$I$10+$I$18</f>
        <v>-189819.59895313275</v>
      </c>
      <c r="J678" s="37">
        <f ca="1">(RANDBETWEEN($E$14,$F$14)*$J$9)+$J$10+$J$18</f>
        <v>-9238.8910066427197</v>
      </c>
      <c r="K678" s="37">
        <f ca="1">(RANDBETWEEN($E$14,$F$14)*$K$9)+$K$10+$K$18</f>
        <v>260393.25392346107</v>
      </c>
      <c r="L678" s="37">
        <f ca="1">(RANDBETWEEN($E$14,$F$14)*$L$9)+$L$10+$L$18</f>
        <v>671221.40421803342</v>
      </c>
      <c r="M678" s="37">
        <f ca="1">(RANDBETWEEN($E$14,$F$14)*$M$9)+$M$10+$M$18</f>
        <v>1043245.7659826493</v>
      </c>
      <c r="N678" s="37">
        <f t="shared" ref="N678" ca="1" si="643">NPV($E$23+$F$23,H678:M678)+$H$4</f>
        <v>1106289.4593414213</v>
      </c>
    </row>
    <row r="679" spans="4:14" x14ac:dyDescent="0.25">
      <c r="D679" s="33"/>
      <c r="E679" s="33">
        <v>649</v>
      </c>
      <c r="F679" s="37"/>
      <c r="G679" s="37"/>
      <c r="H679" s="37">
        <f t="shared" si="505"/>
        <v>868800</v>
      </c>
      <c r="I679" s="37">
        <f ca="1">(RANDBETWEEN($E$14,$F$14)*$I$9)+$I$10+$I$18</f>
        <v>-189819.59895313275</v>
      </c>
      <c r="J679" s="37">
        <f ca="1">(RANDBETWEEN($E$14,$F$14)*$J$9)+$J$10+$J$18</f>
        <v>-9238.8910066427197</v>
      </c>
      <c r="K679" s="37">
        <f ca="1">(RANDBETWEEN($E$14,$F$14)*$K$9)+$K$10+$K$18</f>
        <v>260393.25392346107</v>
      </c>
      <c r="L679" s="37">
        <f ca="1">(RANDBETWEEN($E$14,$F$14)*$L$9)+$L$10+$L$18</f>
        <v>999716.39339203853</v>
      </c>
      <c r="M679" s="37">
        <f ca="1">(RANDBETWEEN($E$14,$F$14)*$M$9)+$M$10+$M$18</f>
        <v>1424944.0925515993</v>
      </c>
      <c r="N679" s="37">
        <f t="shared" ref="N679" ca="1" si="644">NPV($E$23+$F$23,H679:M679)+$H$4</f>
        <v>1648503.0470692138</v>
      </c>
    </row>
    <row r="680" spans="4:14" x14ac:dyDescent="0.25">
      <c r="D680" s="33"/>
      <c r="E680" s="33">
        <v>650</v>
      </c>
      <c r="F680" s="37"/>
      <c r="G680" s="37"/>
      <c r="H680" s="37">
        <f t="shared" si="505"/>
        <v>868800</v>
      </c>
      <c r="I680" s="37">
        <f ca="1">(RANDBETWEEN($E$14,$F$14)*$I$9)+$I$10+$I$18</f>
        <v>-369472.96408399101</v>
      </c>
      <c r="J680" s="37">
        <f ca="1">(RANDBETWEEN($E$14,$F$14)*$J$9)+$J$10+$J$18</f>
        <v>-9238.8910066427197</v>
      </c>
      <c r="K680" s="37">
        <f ca="1">(RANDBETWEEN($E$14,$F$14)*$K$9)+$K$10+$K$18</f>
        <v>260393.25392346107</v>
      </c>
      <c r="L680" s="37">
        <f ca="1">(RANDBETWEEN($E$14,$F$14)*$L$9)+$L$10+$L$18</f>
        <v>671221.40421803342</v>
      </c>
      <c r="M680" s="37">
        <f ca="1">(RANDBETWEEN($E$14,$F$14)*$M$9)+$M$10+$M$18</f>
        <v>1043245.7659826493</v>
      </c>
      <c r="N680" s="37">
        <f t="shared" ref="N680" ca="1" si="645">NPV($E$23+$F$23,H680:M680)+$H$4</f>
        <v>943338.56126354542</v>
      </c>
    </row>
    <row r="681" spans="4:14" x14ac:dyDescent="0.25">
      <c r="D681" s="33"/>
      <c r="E681" s="33">
        <v>651</v>
      </c>
      <c r="F681" s="37"/>
      <c r="G681" s="37"/>
      <c r="H681" s="37">
        <f t="shared" si="505"/>
        <v>868800</v>
      </c>
      <c r="I681" s="37">
        <f ca="1">(RANDBETWEEN($E$14,$F$14)*$I$9)+$I$10+$I$18</f>
        <v>-189819.59895313275</v>
      </c>
      <c r="J681" s="37">
        <f ca="1">(RANDBETWEEN($E$14,$F$14)*$J$9)+$J$10+$J$18</f>
        <v>221933.48456383706</v>
      </c>
      <c r="K681" s="37">
        <f ca="1">(RANDBETWEEN($E$14,$F$14)*$K$9)+$K$10+$K$18</f>
        <v>24363.532183028292</v>
      </c>
      <c r="L681" s="37">
        <f ca="1">(RANDBETWEEN($E$14,$F$14)*$L$9)+$L$10+$L$18</f>
        <v>999716.39339203853</v>
      </c>
      <c r="M681" s="37">
        <f ca="1">(RANDBETWEEN($E$14,$F$14)*$M$9)+$M$10+$M$18</f>
        <v>1043245.7659826493</v>
      </c>
      <c r="N681" s="37">
        <f t="shared" ref="N681" ca="1" si="646">NPV($E$23+$F$23,H681:M681)+$H$4</f>
        <v>1369187.0324723539</v>
      </c>
    </row>
    <row r="682" spans="4:14" x14ac:dyDescent="0.25">
      <c r="D682" s="33"/>
      <c r="E682" s="33">
        <v>652</v>
      </c>
      <c r="F682" s="37"/>
      <c r="G682" s="37"/>
      <c r="H682" s="37">
        <f t="shared" si="505"/>
        <v>868800</v>
      </c>
      <c r="I682" s="37">
        <f ca="1">(RANDBETWEEN($E$14,$F$14)*$I$9)+$I$10+$I$18</f>
        <v>-189819.59895313275</v>
      </c>
      <c r="J682" s="37">
        <f ca="1">(RANDBETWEEN($E$14,$F$14)*$J$9)+$J$10+$J$18</f>
        <v>221933.48456383706</v>
      </c>
      <c r="K682" s="37">
        <f ca="1">(RANDBETWEEN($E$14,$F$14)*$K$9)+$K$10+$K$18</f>
        <v>260393.25392346107</v>
      </c>
      <c r="L682" s="37">
        <f ca="1">(RANDBETWEEN($E$14,$F$14)*$L$9)+$L$10+$L$18</f>
        <v>999716.39339203853</v>
      </c>
      <c r="M682" s="37">
        <f ca="1">(RANDBETWEEN($E$14,$F$14)*$M$9)+$M$10+$M$18</f>
        <v>1043245.7659826493</v>
      </c>
      <c r="N682" s="37">
        <f t="shared" ref="N682" ca="1" si="647">NPV($E$23+$F$23,H682:M682)+$H$4</f>
        <v>1563369.2686726474</v>
      </c>
    </row>
    <row r="683" spans="4:14" x14ac:dyDescent="0.25">
      <c r="D683" s="33"/>
      <c r="E683" s="33">
        <v>653</v>
      </c>
      <c r="F683" s="37"/>
      <c r="G683" s="37"/>
      <c r="H683" s="37">
        <f t="shared" si="505"/>
        <v>868800</v>
      </c>
      <c r="I683" s="37">
        <f ca="1">(RANDBETWEEN($E$14,$F$14)*$I$9)+$I$10+$I$18</f>
        <v>-369472.96408399101</v>
      </c>
      <c r="J683" s="37">
        <f ca="1">(RANDBETWEEN($E$14,$F$14)*$J$9)+$J$10+$J$18</f>
        <v>221933.48456383706</v>
      </c>
      <c r="K683" s="37">
        <f ca="1">(RANDBETWEEN($E$14,$F$14)*$K$9)+$K$10+$K$18</f>
        <v>24363.532183028292</v>
      </c>
      <c r="L683" s="37">
        <f ca="1">(RANDBETWEEN($E$14,$F$14)*$L$9)+$L$10+$L$18</f>
        <v>999716.39339203853</v>
      </c>
      <c r="M683" s="37">
        <f ca="1">(RANDBETWEEN($E$14,$F$14)*$M$9)+$M$10+$M$18</f>
        <v>1043245.7659826493</v>
      </c>
      <c r="N683" s="37">
        <f t="shared" ref="N683" ca="1" si="648">NPV($E$23+$F$23,H683:M683)+$H$4</f>
        <v>1206236.1343944785</v>
      </c>
    </row>
    <row r="684" spans="4:14" x14ac:dyDescent="0.25">
      <c r="D684" s="33"/>
      <c r="E684" s="33">
        <v>654</v>
      </c>
      <c r="F684" s="37"/>
      <c r="G684" s="37"/>
      <c r="H684" s="37">
        <f t="shared" si="505"/>
        <v>868800</v>
      </c>
      <c r="I684" s="37">
        <f ca="1">(RANDBETWEEN($E$14,$F$14)*$I$9)+$I$10+$I$18</f>
        <v>-369472.96408399101</v>
      </c>
      <c r="J684" s="37">
        <f ca="1">(RANDBETWEEN($E$14,$F$14)*$J$9)+$J$10+$J$18</f>
        <v>-9238.8910066427197</v>
      </c>
      <c r="K684" s="37">
        <f ca="1">(RANDBETWEEN($E$14,$F$14)*$K$9)+$K$10+$K$18</f>
        <v>260393.25392346107</v>
      </c>
      <c r="L684" s="37">
        <f ca="1">(RANDBETWEEN($E$14,$F$14)*$L$9)+$L$10+$L$18</f>
        <v>999716.39339203853</v>
      </c>
      <c r="M684" s="37">
        <f ca="1">(RANDBETWEEN($E$14,$F$14)*$M$9)+$M$10+$M$18</f>
        <v>1043245.7659826493</v>
      </c>
      <c r="N684" s="37">
        <f t="shared" ref="N684" ca="1" si="649">NPV($E$23+$F$23,H684:M684)+$H$4</f>
        <v>1200722.9808351514</v>
      </c>
    </row>
    <row r="685" spans="4:14" x14ac:dyDescent="0.25">
      <c r="D685" s="33"/>
      <c r="E685" s="33">
        <v>655</v>
      </c>
      <c r="F685" s="37"/>
      <c r="G685" s="37"/>
      <c r="H685" s="37">
        <f t="shared" si="505"/>
        <v>868800</v>
      </c>
      <c r="I685" s="37">
        <f ca="1">(RANDBETWEEN($E$14,$F$14)*$I$9)+$I$10+$I$18</f>
        <v>-369472.96408399101</v>
      </c>
      <c r="J685" s="37">
        <f ca="1">(RANDBETWEEN($E$14,$F$14)*$J$9)+$J$10+$J$18</f>
        <v>221933.48456383706</v>
      </c>
      <c r="K685" s="37">
        <f ca="1">(RANDBETWEEN($E$14,$F$14)*$K$9)+$K$10+$K$18</f>
        <v>260393.25392346107</v>
      </c>
      <c r="L685" s="37">
        <f ca="1">(RANDBETWEEN($E$14,$F$14)*$L$9)+$L$10+$L$18</f>
        <v>999716.39339203853</v>
      </c>
      <c r="M685" s="37">
        <f ca="1">(RANDBETWEEN($E$14,$F$14)*$M$9)+$M$10+$M$18</f>
        <v>1424944.0925515993</v>
      </c>
      <c r="N685" s="37">
        <f t="shared" ref="N685" ca="1" si="650">NPV($E$23+$F$23,H685:M685)+$H$4</f>
        <v>1685247.5387509572</v>
      </c>
    </row>
    <row r="686" spans="4:14" x14ac:dyDescent="0.25">
      <c r="D686" s="33"/>
      <c r="E686" s="33">
        <v>656</v>
      </c>
      <c r="F686" s="37"/>
      <c r="G686" s="37"/>
      <c r="H686" s="37">
        <f t="shared" si="505"/>
        <v>868800</v>
      </c>
      <c r="I686" s="37">
        <f ca="1">(RANDBETWEEN($E$14,$F$14)*$I$9)+$I$10+$I$18</f>
        <v>-369472.96408399101</v>
      </c>
      <c r="J686" s="37">
        <f ca="1">(RANDBETWEEN($E$14,$F$14)*$J$9)+$J$10+$J$18</f>
        <v>-9238.8910066427197</v>
      </c>
      <c r="K686" s="37">
        <f ca="1">(RANDBETWEEN($E$14,$F$14)*$K$9)+$K$10+$K$18</f>
        <v>260393.25392346107</v>
      </c>
      <c r="L686" s="37">
        <f ca="1">(RANDBETWEEN($E$14,$F$14)*$L$9)+$L$10+$L$18</f>
        <v>999716.39339203853</v>
      </c>
      <c r="M686" s="37">
        <f ca="1">(RANDBETWEEN($E$14,$F$14)*$M$9)+$M$10+$M$18</f>
        <v>1424944.0925515993</v>
      </c>
      <c r="N686" s="37">
        <f t="shared" ref="N686" ca="1" si="651">NPV($E$23+$F$23,H686:M686)+$H$4</f>
        <v>1485552.1489913375</v>
      </c>
    </row>
    <row r="687" spans="4:14" x14ac:dyDescent="0.25">
      <c r="D687" s="33"/>
      <c r="E687" s="33">
        <v>657</v>
      </c>
      <c r="F687" s="37"/>
      <c r="G687" s="37"/>
      <c r="H687" s="37">
        <f t="shared" si="505"/>
        <v>868800</v>
      </c>
      <c r="I687" s="37">
        <f ca="1">(RANDBETWEEN($E$14,$F$14)*$I$9)+$I$10+$I$18</f>
        <v>-369472.96408399101</v>
      </c>
      <c r="J687" s="37">
        <f ca="1">(RANDBETWEEN($E$14,$F$14)*$J$9)+$J$10+$J$18</f>
        <v>-9238.8910066427197</v>
      </c>
      <c r="K687" s="37">
        <f ca="1">(RANDBETWEEN($E$14,$F$14)*$K$9)+$K$10+$K$18</f>
        <v>260393.25392346107</v>
      </c>
      <c r="L687" s="37">
        <f ca="1">(RANDBETWEEN($E$14,$F$14)*$L$9)+$L$10+$L$18</f>
        <v>999716.39339203853</v>
      </c>
      <c r="M687" s="37">
        <f ca="1">(RANDBETWEEN($E$14,$F$14)*$M$9)+$M$10+$M$18</f>
        <v>1424944.0925515993</v>
      </c>
      <c r="N687" s="37">
        <f t="shared" ref="N687" ca="1" si="652">NPV($E$23+$F$23,H687:M687)+$H$4</f>
        <v>1485552.1489913375</v>
      </c>
    </row>
    <row r="688" spans="4:14" x14ac:dyDescent="0.25">
      <c r="D688" s="33"/>
      <c r="E688" s="33">
        <v>658</v>
      </c>
      <c r="F688" s="37"/>
      <c r="G688" s="37"/>
      <c r="H688" s="37">
        <f t="shared" si="505"/>
        <v>868800</v>
      </c>
      <c r="I688" s="37">
        <f ca="1">(RANDBETWEEN($E$14,$F$14)*$I$9)+$I$10+$I$18</f>
        <v>-189819.59895313275</v>
      </c>
      <c r="J688" s="37">
        <f ca="1">(RANDBETWEEN($E$14,$F$14)*$J$9)+$J$10+$J$18</f>
        <v>-9238.8910066427197</v>
      </c>
      <c r="K688" s="37">
        <f ca="1">(RANDBETWEEN($E$14,$F$14)*$K$9)+$K$10+$K$18</f>
        <v>260393.25392346107</v>
      </c>
      <c r="L688" s="37">
        <f ca="1">(RANDBETWEEN($E$14,$F$14)*$L$9)+$L$10+$L$18</f>
        <v>999716.39339203853</v>
      </c>
      <c r="M688" s="37">
        <f ca="1">(RANDBETWEEN($E$14,$F$14)*$M$9)+$M$10+$M$18</f>
        <v>1424944.0925515993</v>
      </c>
      <c r="N688" s="37">
        <f t="shared" ref="N688" ca="1" si="653">NPV($E$23+$F$23,H688:M688)+$H$4</f>
        <v>1648503.0470692138</v>
      </c>
    </row>
    <row r="689" spans="4:17" x14ac:dyDescent="0.25">
      <c r="D689" s="33"/>
      <c r="E689" s="33">
        <v>659</v>
      </c>
      <c r="F689" s="37"/>
      <c r="G689" s="37"/>
      <c r="H689" s="37">
        <f t="shared" si="505"/>
        <v>868800</v>
      </c>
      <c r="I689" s="37">
        <f ca="1">(RANDBETWEEN($E$14,$F$14)*$I$9)+$I$10+$I$18</f>
        <v>-369472.96408399101</v>
      </c>
      <c r="J689" s="37">
        <f ca="1">(RANDBETWEEN($E$14,$F$14)*$J$9)+$J$10+$J$18</f>
        <v>221933.48456383706</v>
      </c>
      <c r="K689" s="37">
        <f ca="1">(RANDBETWEEN($E$14,$F$14)*$K$9)+$K$10+$K$18</f>
        <v>260393.25392346107</v>
      </c>
      <c r="L689" s="37">
        <f ca="1">(RANDBETWEEN($E$14,$F$14)*$L$9)+$L$10+$L$18</f>
        <v>999716.39339203853</v>
      </c>
      <c r="M689" s="37">
        <f ca="1">(RANDBETWEEN($E$14,$F$14)*$M$9)+$M$10+$M$18</f>
        <v>1424944.0925515993</v>
      </c>
      <c r="N689" s="37">
        <f t="shared" ref="N689" ca="1" si="654">NPV($E$23+$F$23,H689:M689)+$H$4</f>
        <v>1685247.5387509572</v>
      </c>
    </row>
    <row r="690" spans="4:17" x14ac:dyDescent="0.25">
      <c r="D690" s="33"/>
      <c r="E690" s="33">
        <v>660</v>
      </c>
      <c r="F690" s="37"/>
      <c r="G690" s="37"/>
      <c r="H690" s="37">
        <f t="shared" si="505"/>
        <v>868800</v>
      </c>
      <c r="I690" s="37">
        <f ca="1">(RANDBETWEEN($E$14,$F$14)*$I$9)+$I$10+$I$18</f>
        <v>-189819.59895313275</v>
      </c>
      <c r="J690" s="37">
        <f ca="1">(RANDBETWEEN($E$14,$F$14)*$J$9)+$J$10+$J$18</f>
        <v>221933.48456383706</v>
      </c>
      <c r="K690" s="37">
        <f ca="1">(RANDBETWEEN($E$14,$F$14)*$K$9)+$K$10+$K$18</f>
        <v>24363.532183028292</v>
      </c>
      <c r="L690" s="37">
        <f ca="1">(RANDBETWEEN($E$14,$F$14)*$L$9)+$L$10+$L$18</f>
        <v>999716.39339203853</v>
      </c>
      <c r="M690" s="37">
        <f ca="1">(RANDBETWEEN($E$14,$F$14)*$M$9)+$M$10+$M$18</f>
        <v>1424944.0925515993</v>
      </c>
      <c r="N690" s="37">
        <f t="shared" ref="N690" ca="1" si="655">NPV($E$23+$F$23,H690:M690)+$H$4</f>
        <v>1654016.20062854</v>
      </c>
    </row>
    <row r="691" spans="4:17" x14ac:dyDescent="0.25">
      <c r="D691" s="33"/>
      <c r="E691" s="33">
        <v>661</v>
      </c>
      <c r="F691" s="37"/>
      <c r="G691" s="37"/>
      <c r="H691" s="37">
        <f t="shared" si="505"/>
        <v>868800</v>
      </c>
      <c r="I691" s="37">
        <f ca="1">(RANDBETWEEN($E$14,$F$14)*$I$9)+$I$10+$I$18</f>
        <v>-189819.59895313275</v>
      </c>
      <c r="J691" s="37">
        <f ca="1">(RANDBETWEEN($E$14,$F$14)*$J$9)+$J$10+$J$18</f>
        <v>-9238.8910066427197</v>
      </c>
      <c r="K691" s="37">
        <f ca="1">(RANDBETWEEN($E$14,$F$14)*$K$9)+$K$10+$K$18</f>
        <v>260393.25392346107</v>
      </c>
      <c r="L691" s="37">
        <f ca="1">(RANDBETWEEN($E$14,$F$14)*$L$9)+$L$10+$L$18</f>
        <v>999716.39339203853</v>
      </c>
      <c r="M691" s="37">
        <f ca="1">(RANDBETWEEN($E$14,$F$14)*$M$9)+$M$10+$M$18</f>
        <v>1043245.7659826493</v>
      </c>
      <c r="N691" s="37">
        <f t="shared" ref="N691" ca="1" si="656">NPV($E$23+$F$23,H691:M691)+$H$4</f>
        <v>1363673.8789130282</v>
      </c>
    </row>
    <row r="692" spans="4:17" x14ac:dyDescent="0.25">
      <c r="D692" s="33"/>
      <c r="E692" s="33">
        <v>662</v>
      </c>
      <c r="F692" s="37"/>
      <c r="G692" s="37"/>
      <c r="H692" s="37">
        <f t="shared" si="505"/>
        <v>868800</v>
      </c>
      <c r="I692" s="37">
        <f ca="1">(RANDBETWEEN($E$14,$F$14)*$I$9)+$I$10+$I$18</f>
        <v>-369472.96408399101</v>
      </c>
      <c r="J692" s="37">
        <f ca="1">(RANDBETWEEN($E$14,$F$14)*$J$9)+$J$10+$J$18</f>
        <v>221933.48456383706</v>
      </c>
      <c r="K692" s="37">
        <f ca="1">(RANDBETWEEN($E$14,$F$14)*$K$9)+$K$10+$K$18</f>
        <v>260393.25392346107</v>
      </c>
      <c r="L692" s="37">
        <f ca="1">(RANDBETWEEN($E$14,$F$14)*$L$9)+$L$10+$L$18</f>
        <v>671221.40421803342</v>
      </c>
      <c r="M692" s="37">
        <f ca="1">(RANDBETWEEN($E$14,$F$14)*$M$9)+$M$10+$M$18</f>
        <v>1043245.7659826493</v>
      </c>
      <c r="N692" s="37">
        <f t="shared" ref="N692" ca="1" si="657">NPV($E$23+$F$23,H692:M692)+$H$4</f>
        <v>1143033.9510231656</v>
      </c>
    </row>
    <row r="693" spans="4:17" x14ac:dyDescent="0.25">
      <c r="D693" s="33"/>
      <c r="E693" s="33">
        <v>663</v>
      </c>
      <c r="F693" s="37"/>
      <c r="G693" s="37"/>
      <c r="H693" s="37">
        <f t="shared" si="505"/>
        <v>868800</v>
      </c>
      <c r="I693" s="37">
        <f ca="1">(RANDBETWEEN($E$14,$F$14)*$I$9)+$I$10+$I$18</f>
        <v>-369472.96408399101</v>
      </c>
      <c r="J693" s="37">
        <f ca="1">(RANDBETWEEN($E$14,$F$14)*$J$9)+$J$10+$J$18</f>
        <v>221933.48456383706</v>
      </c>
      <c r="K693" s="37">
        <f ca="1">(RANDBETWEEN($E$14,$F$14)*$K$9)+$K$10+$K$18</f>
        <v>260393.25392346107</v>
      </c>
      <c r="L693" s="37">
        <f ca="1">(RANDBETWEEN($E$14,$F$14)*$L$9)+$L$10+$L$18</f>
        <v>999716.39339203853</v>
      </c>
      <c r="M693" s="37">
        <f ca="1">(RANDBETWEEN($E$14,$F$14)*$M$9)+$M$10+$M$18</f>
        <v>1424944.0925515993</v>
      </c>
      <c r="N693" s="37">
        <f t="shared" ref="N693" ca="1" si="658">NPV($E$23+$F$23,H693:M693)+$H$4</f>
        <v>1685247.5387509572</v>
      </c>
    </row>
    <row r="694" spans="4:17" x14ac:dyDescent="0.25">
      <c r="D694" s="33"/>
      <c r="E694" s="33">
        <v>664</v>
      </c>
      <c r="F694" s="37"/>
      <c r="G694" s="37"/>
      <c r="H694" s="37">
        <f t="shared" si="505"/>
        <v>868800</v>
      </c>
      <c r="I694" s="37">
        <f ca="1">(RANDBETWEEN($E$14,$F$14)*$I$9)+$I$10+$I$18</f>
        <v>-369472.96408399101</v>
      </c>
      <c r="J694" s="37">
        <f ca="1">(RANDBETWEEN($E$14,$F$14)*$J$9)+$J$10+$J$18</f>
        <v>-9238.8910066427197</v>
      </c>
      <c r="K694" s="37">
        <f ca="1">(RANDBETWEEN($E$14,$F$14)*$K$9)+$K$10+$K$18</f>
        <v>24363.532183028292</v>
      </c>
      <c r="L694" s="37">
        <f ca="1">(RANDBETWEEN($E$14,$F$14)*$L$9)+$L$10+$L$18</f>
        <v>671221.40421803342</v>
      </c>
      <c r="M694" s="37">
        <f ca="1">(RANDBETWEEN($E$14,$F$14)*$M$9)+$M$10+$M$18</f>
        <v>1424944.0925515993</v>
      </c>
      <c r="N694" s="37">
        <f t="shared" ref="N694" ca="1" si="659">NPV($E$23+$F$23,H694:M694)+$H$4</f>
        <v>1033985.4932194382</v>
      </c>
      <c r="Q694" s="37"/>
    </row>
    <row r="695" spans="4:17" x14ac:dyDescent="0.25">
      <c r="D695" s="33"/>
      <c r="E695" s="33">
        <v>665</v>
      </c>
      <c r="F695" s="37"/>
      <c r="G695" s="37"/>
      <c r="H695" s="37">
        <f t="shared" si="505"/>
        <v>868800</v>
      </c>
      <c r="I695" s="37">
        <f ca="1">(RANDBETWEEN($E$14,$F$14)*$I$9)+$I$10+$I$18</f>
        <v>-369472.96408399101</v>
      </c>
      <c r="J695" s="37">
        <f ca="1">(RANDBETWEEN($E$14,$F$14)*$J$9)+$J$10+$J$18</f>
        <v>-9238.8910066427197</v>
      </c>
      <c r="K695" s="37">
        <f ca="1">(RANDBETWEEN($E$14,$F$14)*$K$9)+$K$10+$K$18</f>
        <v>260393.25392346107</v>
      </c>
      <c r="L695" s="37">
        <f ca="1">(RANDBETWEEN($E$14,$F$14)*$L$9)+$L$10+$L$18</f>
        <v>999716.39339203853</v>
      </c>
      <c r="M695" s="37">
        <f ca="1">(RANDBETWEEN($E$14,$F$14)*$M$9)+$M$10+$M$18</f>
        <v>1424944.0925515993</v>
      </c>
      <c r="N695" s="37">
        <f t="shared" ref="N695" ca="1" si="660">NPV($E$23+$F$23,H695:M695)+$H$4</f>
        <v>1485552.1489913375</v>
      </c>
    </row>
    <row r="696" spans="4:17" x14ac:dyDescent="0.25">
      <c r="D696" s="33"/>
      <c r="E696" s="33">
        <v>666</v>
      </c>
      <c r="F696" s="37"/>
      <c r="G696" s="37"/>
      <c r="H696" s="37">
        <f t="shared" si="505"/>
        <v>868800</v>
      </c>
      <c r="I696" s="37">
        <f ca="1">(RANDBETWEEN($E$14,$F$14)*$I$9)+$I$10+$I$18</f>
        <v>-189819.59895313275</v>
      </c>
      <c r="J696" s="37">
        <f ca="1">(RANDBETWEEN($E$14,$F$14)*$J$9)+$J$10+$J$18</f>
        <v>221933.48456383706</v>
      </c>
      <c r="K696" s="37">
        <f ca="1">(RANDBETWEEN($E$14,$F$14)*$K$9)+$K$10+$K$18</f>
        <v>24363.532183028292</v>
      </c>
      <c r="L696" s="37">
        <f ca="1">(RANDBETWEEN($E$14,$F$14)*$L$9)+$L$10+$L$18</f>
        <v>671221.40421803342</v>
      </c>
      <c r="M696" s="37">
        <f ca="1">(RANDBETWEEN($E$14,$F$14)*$M$9)+$M$10+$M$18</f>
        <v>1424944.0925515993</v>
      </c>
      <c r="N696" s="37">
        <f t="shared" ref="N696" ca="1" si="661">NPV($E$23+$F$23,H696:M696)+$H$4</f>
        <v>1396631.7810569336</v>
      </c>
    </row>
    <row r="697" spans="4:17" x14ac:dyDescent="0.25">
      <c r="D697" s="33"/>
      <c r="E697" s="33">
        <v>667</v>
      </c>
      <c r="F697" s="37"/>
      <c r="G697" s="37"/>
      <c r="H697" s="37">
        <f t="shared" si="505"/>
        <v>868800</v>
      </c>
      <c r="I697" s="37">
        <f ca="1">(RANDBETWEEN($E$14,$F$14)*$I$9)+$I$10+$I$18</f>
        <v>-369472.96408399101</v>
      </c>
      <c r="J697" s="37">
        <f ca="1">(RANDBETWEEN($E$14,$F$14)*$J$9)+$J$10+$J$18</f>
        <v>-9238.8910066427197</v>
      </c>
      <c r="K697" s="37">
        <f ca="1">(RANDBETWEEN($E$14,$F$14)*$K$9)+$K$10+$K$18</f>
        <v>24363.532183028292</v>
      </c>
      <c r="L697" s="37">
        <f ca="1">(RANDBETWEEN($E$14,$F$14)*$L$9)+$L$10+$L$18</f>
        <v>671221.40421803342</v>
      </c>
      <c r="M697" s="37">
        <f ca="1">(RANDBETWEEN($E$14,$F$14)*$M$9)+$M$10+$M$18</f>
        <v>1424944.0925515993</v>
      </c>
      <c r="N697" s="37">
        <f t="shared" ref="N697" ca="1" si="662">NPV($E$23+$F$23,H697:M697)+$H$4</f>
        <v>1033985.4932194382</v>
      </c>
    </row>
    <row r="698" spans="4:17" x14ac:dyDescent="0.25">
      <c r="D698" s="33"/>
      <c r="E698" s="33">
        <v>668</v>
      </c>
      <c r="F698" s="37"/>
      <c r="G698" s="37"/>
      <c r="H698" s="37">
        <f t="shared" si="505"/>
        <v>868800</v>
      </c>
      <c r="I698" s="37">
        <f ca="1">(RANDBETWEEN($E$14,$F$14)*$I$9)+$I$10+$I$18</f>
        <v>-369472.96408399101</v>
      </c>
      <c r="J698" s="37">
        <f ca="1">(RANDBETWEEN($E$14,$F$14)*$J$9)+$J$10+$J$18</f>
        <v>-9238.8910066427197</v>
      </c>
      <c r="K698" s="37">
        <f ca="1">(RANDBETWEEN($E$14,$F$14)*$K$9)+$K$10+$K$18</f>
        <v>260393.25392346107</v>
      </c>
      <c r="L698" s="37">
        <f ca="1">(RANDBETWEEN($E$14,$F$14)*$L$9)+$L$10+$L$18</f>
        <v>999716.39339203853</v>
      </c>
      <c r="M698" s="37">
        <f ca="1">(RANDBETWEEN($E$14,$F$14)*$M$9)+$M$10+$M$18</f>
        <v>1043245.7659826493</v>
      </c>
      <c r="N698" s="37">
        <f t="shared" ref="N698" ca="1" si="663">NPV($E$23+$F$23,H698:M698)+$H$4</f>
        <v>1200722.9808351514</v>
      </c>
    </row>
    <row r="699" spans="4:17" x14ac:dyDescent="0.25">
      <c r="D699" s="33"/>
      <c r="E699" s="33">
        <v>669</v>
      </c>
      <c r="F699" s="37"/>
      <c r="G699" s="37"/>
      <c r="H699" s="37">
        <f t="shared" si="505"/>
        <v>868800</v>
      </c>
      <c r="I699" s="37">
        <f ca="1">(RANDBETWEEN($E$14,$F$14)*$I$9)+$I$10+$I$18</f>
        <v>-369472.96408399101</v>
      </c>
      <c r="J699" s="37">
        <f ca="1">(RANDBETWEEN($E$14,$F$14)*$J$9)+$J$10+$J$18</f>
        <v>-9238.8910066427197</v>
      </c>
      <c r="K699" s="37">
        <f ca="1">(RANDBETWEEN($E$14,$F$14)*$K$9)+$K$10+$K$18</f>
        <v>260393.25392346107</v>
      </c>
      <c r="L699" s="37">
        <f ca="1">(RANDBETWEEN($E$14,$F$14)*$L$9)+$L$10+$L$18</f>
        <v>671221.40421803342</v>
      </c>
      <c r="M699" s="37">
        <f ca="1">(RANDBETWEEN($E$14,$F$14)*$M$9)+$M$10+$M$18</f>
        <v>1424944.0925515993</v>
      </c>
      <c r="N699" s="37">
        <f t="shared" ref="N699" ca="1" si="664">NPV($E$23+$F$23,H699:M699)+$H$4</f>
        <v>1228167.7294197315</v>
      </c>
    </row>
    <row r="700" spans="4:17" x14ac:dyDescent="0.25">
      <c r="D700" s="33"/>
      <c r="E700" s="33">
        <v>670</v>
      </c>
      <c r="F700" s="37"/>
      <c r="G700" s="37"/>
      <c r="H700" s="37">
        <f t="shared" si="505"/>
        <v>868800</v>
      </c>
      <c r="I700" s="37">
        <f ca="1">(RANDBETWEEN($E$14,$F$14)*$I$9)+$I$10+$I$18</f>
        <v>-369472.96408399101</v>
      </c>
      <c r="J700" s="37">
        <f ca="1">(RANDBETWEEN($E$14,$F$14)*$J$9)+$J$10+$J$18</f>
        <v>-9238.8910066427197</v>
      </c>
      <c r="K700" s="37">
        <f ca="1">(RANDBETWEEN($E$14,$F$14)*$K$9)+$K$10+$K$18</f>
        <v>260393.25392346107</v>
      </c>
      <c r="L700" s="37">
        <f ca="1">(RANDBETWEEN($E$14,$F$14)*$L$9)+$L$10+$L$18</f>
        <v>999716.39339203853</v>
      </c>
      <c r="M700" s="37">
        <f ca="1">(RANDBETWEEN($E$14,$F$14)*$M$9)+$M$10+$M$18</f>
        <v>1424944.0925515993</v>
      </c>
      <c r="N700" s="37">
        <f t="shared" ref="N700" ca="1" si="665">NPV($E$23+$F$23,H700:M700)+$H$4</f>
        <v>1485552.1489913375</v>
      </c>
      <c r="Q700" s="37"/>
    </row>
    <row r="701" spans="4:17" x14ac:dyDescent="0.25">
      <c r="D701" s="33"/>
      <c r="E701" s="33">
        <v>671</v>
      </c>
      <c r="F701" s="37"/>
      <c r="G701" s="37"/>
      <c r="H701" s="37">
        <f t="shared" si="505"/>
        <v>868800</v>
      </c>
      <c r="I701" s="37">
        <f ca="1">(RANDBETWEEN($E$14,$F$14)*$I$9)+$I$10+$I$18</f>
        <v>-189819.59895313275</v>
      </c>
      <c r="J701" s="37">
        <f ca="1">(RANDBETWEEN($E$14,$F$14)*$J$9)+$J$10+$J$18</f>
        <v>221933.48456383706</v>
      </c>
      <c r="K701" s="37">
        <f ca="1">(RANDBETWEEN($E$14,$F$14)*$K$9)+$K$10+$K$18</f>
        <v>24363.532183028292</v>
      </c>
      <c r="L701" s="37">
        <f ca="1">(RANDBETWEEN($E$14,$F$14)*$L$9)+$L$10+$L$18</f>
        <v>671221.40421803342</v>
      </c>
      <c r="M701" s="37">
        <f ca="1">(RANDBETWEEN($E$14,$F$14)*$M$9)+$M$10+$M$18</f>
        <v>1043245.7659826493</v>
      </c>
      <c r="N701" s="37">
        <f t="shared" ref="N701" ca="1" si="666">NPV($E$23+$F$23,H701:M701)+$H$4</f>
        <v>1111802.6129007479</v>
      </c>
    </row>
    <row r="702" spans="4:17" x14ac:dyDescent="0.25">
      <c r="D702" s="33"/>
      <c r="E702" s="33">
        <v>672</v>
      </c>
      <c r="F702" s="37"/>
      <c r="G702" s="37"/>
      <c r="H702" s="37">
        <f t="shared" si="505"/>
        <v>868800</v>
      </c>
      <c r="I702" s="37">
        <f ca="1">(RANDBETWEEN($E$14,$F$14)*$I$9)+$I$10+$I$18</f>
        <v>-369472.96408399101</v>
      </c>
      <c r="J702" s="37">
        <f ca="1">(RANDBETWEEN($E$14,$F$14)*$J$9)+$J$10+$J$18</f>
        <v>221933.48456383706</v>
      </c>
      <c r="K702" s="37">
        <f ca="1">(RANDBETWEEN($E$14,$F$14)*$K$9)+$K$10+$K$18</f>
        <v>260393.25392346107</v>
      </c>
      <c r="L702" s="37">
        <f ca="1">(RANDBETWEEN($E$14,$F$14)*$L$9)+$L$10+$L$18</f>
        <v>999716.39339203853</v>
      </c>
      <c r="M702" s="37">
        <f ca="1">(RANDBETWEEN($E$14,$F$14)*$M$9)+$M$10+$M$18</f>
        <v>1043245.7659826493</v>
      </c>
      <c r="N702" s="37">
        <f t="shared" ref="N702" ca="1" si="667">NPV($E$23+$F$23,H702:M702)+$H$4</f>
        <v>1400418.3705947716</v>
      </c>
    </row>
    <row r="703" spans="4:17" x14ac:dyDescent="0.25">
      <c r="D703" s="33"/>
      <c r="E703" s="33">
        <v>673</v>
      </c>
      <c r="F703" s="37"/>
      <c r="G703" s="37"/>
      <c r="H703" s="37">
        <f t="shared" si="505"/>
        <v>868800</v>
      </c>
      <c r="I703" s="37">
        <f ca="1">(RANDBETWEEN($E$14,$F$14)*$I$9)+$I$10+$I$18</f>
        <v>-369472.96408399101</v>
      </c>
      <c r="J703" s="37">
        <f ca="1">(RANDBETWEEN($E$14,$F$14)*$J$9)+$J$10+$J$18</f>
        <v>-9238.8910066427197</v>
      </c>
      <c r="K703" s="37">
        <f ca="1">(RANDBETWEEN($E$14,$F$14)*$K$9)+$K$10+$K$18</f>
        <v>260393.25392346107</v>
      </c>
      <c r="L703" s="37">
        <f ca="1">(RANDBETWEEN($E$14,$F$14)*$L$9)+$L$10+$L$18</f>
        <v>999716.39339203853</v>
      </c>
      <c r="M703" s="37">
        <f ca="1">(RANDBETWEEN($E$14,$F$14)*$M$9)+$M$10+$M$18</f>
        <v>1424944.0925515993</v>
      </c>
      <c r="N703" s="37">
        <f t="shared" ref="N703" ca="1" si="668">NPV($E$23+$F$23,H703:M703)+$H$4</f>
        <v>1485552.1489913375</v>
      </c>
    </row>
    <row r="704" spans="4:17" x14ac:dyDescent="0.25">
      <c r="D704" s="33"/>
      <c r="E704" s="33">
        <v>674</v>
      </c>
      <c r="F704" s="37"/>
      <c r="G704" s="37"/>
      <c r="H704" s="37">
        <f t="shared" si="505"/>
        <v>868800</v>
      </c>
      <c r="I704" s="37">
        <f ca="1">(RANDBETWEEN($E$14,$F$14)*$I$9)+$I$10+$I$18</f>
        <v>-369472.96408399101</v>
      </c>
      <c r="J704" s="37">
        <f ca="1">(RANDBETWEEN($E$14,$F$14)*$J$9)+$J$10+$J$18</f>
        <v>-9238.8910066427197</v>
      </c>
      <c r="K704" s="37">
        <f ca="1">(RANDBETWEEN($E$14,$F$14)*$K$9)+$K$10+$K$18</f>
        <v>24363.532183028292</v>
      </c>
      <c r="L704" s="37">
        <f ca="1">(RANDBETWEEN($E$14,$F$14)*$L$9)+$L$10+$L$18</f>
        <v>671221.40421803342</v>
      </c>
      <c r="M704" s="37">
        <f ca="1">(RANDBETWEEN($E$14,$F$14)*$M$9)+$M$10+$M$18</f>
        <v>1424944.0925515993</v>
      </c>
      <c r="N704" s="37">
        <f t="shared" ref="N704" ca="1" si="669">NPV($E$23+$F$23,H704:M704)+$H$4</f>
        <v>1033985.4932194382</v>
      </c>
    </row>
    <row r="705" spans="4:17" x14ac:dyDescent="0.25">
      <c r="D705" s="33"/>
      <c r="E705" s="33">
        <v>675</v>
      </c>
      <c r="F705" s="37"/>
      <c r="G705" s="37"/>
      <c r="H705" s="37">
        <f t="shared" si="505"/>
        <v>868800</v>
      </c>
      <c r="I705" s="37">
        <f ca="1">(RANDBETWEEN($E$14,$F$14)*$I$9)+$I$10+$I$18</f>
        <v>-369472.96408399101</v>
      </c>
      <c r="J705" s="37">
        <f ca="1">(RANDBETWEEN($E$14,$F$14)*$J$9)+$J$10+$J$18</f>
        <v>221933.48456383706</v>
      </c>
      <c r="K705" s="37">
        <f ca="1">(RANDBETWEEN($E$14,$F$14)*$K$9)+$K$10+$K$18</f>
        <v>24363.532183028292</v>
      </c>
      <c r="L705" s="37">
        <f ca="1">(RANDBETWEEN($E$14,$F$14)*$L$9)+$L$10+$L$18</f>
        <v>999716.39339203853</v>
      </c>
      <c r="M705" s="37">
        <f ca="1">(RANDBETWEEN($E$14,$F$14)*$M$9)+$M$10+$M$18</f>
        <v>1424944.0925515993</v>
      </c>
      <c r="N705" s="37">
        <f t="shared" ref="N705" ca="1" si="670">NPV($E$23+$F$23,H705:M705)+$H$4</f>
        <v>1491065.3025506642</v>
      </c>
    </row>
    <row r="706" spans="4:17" x14ac:dyDescent="0.25">
      <c r="D706" s="33"/>
      <c r="E706" s="33">
        <v>676</v>
      </c>
      <c r="F706" s="37"/>
      <c r="G706" s="37"/>
      <c r="H706" s="37">
        <f t="shared" si="505"/>
        <v>868800</v>
      </c>
      <c r="I706" s="37">
        <f ca="1">(RANDBETWEEN($E$14,$F$14)*$I$9)+$I$10+$I$18</f>
        <v>-189819.59895313275</v>
      </c>
      <c r="J706" s="37">
        <f ca="1">(RANDBETWEEN($E$14,$F$14)*$J$9)+$J$10+$J$18</f>
        <v>221933.48456383706</v>
      </c>
      <c r="K706" s="37">
        <f ca="1">(RANDBETWEEN($E$14,$F$14)*$K$9)+$K$10+$K$18</f>
        <v>24363.532183028292</v>
      </c>
      <c r="L706" s="37">
        <f ca="1">(RANDBETWEEN($E$14,$F$14)*$L$9)+$L$10+$L$18</f>
        <v>671221.40421803342</v>
      </c>
      <c r="M706" s="37">
        <f ca="1">(RANDBETWEEN($E$14,$F$14)*$M$9)+$M$10+$M$18</f>
        <v>1424944.0925515993</v>
      </c>
      <c r="N706" s="37">
        <f t="shared" ref="N706" ca="1" si="671">NPV($E$23+$F$23,H706:M706)+$H$4</f>
        <v>1396631.7810569336</v>
      </c>
    </row>
    <row r="707" spans="4:17" x14ac:dyDescent="0.25">
      <c r="D707" s="33"/>
      <c r="E707" s="33">
        <v>677</v>
      </c>
      <c r="F707" s="37"/>
      <c r="G707" s="37"/>
      <c r="H707" s="37">
        <f t="shared" si="505"/>
        <v>868800</v>
      </c>
      <c r="I707" s="37">
        <f ca="1">(RANDBETWEEN($E$14,$F$14)*$I$9)+$I$10+$I$18</f>
        <v>-369472.96408399101</v>
      </c>
      <c r="J707" s="37">
        <f ca="1">(RANDBETWEEN($E$14,$F$14)*$J$9)+$J$10+$J$18</f>
        <v>-9238.8910066427197</v>
      </c>
      <c r="K707" s="37">
        <f ca="1">(RANDBETWEEN($E$14,$F$14)*$K$9)+$K$10+$K$18</f>
        <v>260393.25392346107</v>
      </c>
      <c r="L707" s="37">
        <f ca="1">(RANDBETWEEN($E$14,$F$14)*$L$9)+$L$10+$L$18</f>
        <v>671221.40421803342</v>
      </c>
      <c r="M707" s="37">
        <f ca="1">(RANDBETWEEN($E$14,$F$14)*$M$9)+$M$10+$M$18</f>
        <v>1424944.0925515993</v>
      </c>
      <c r="N707" s="37">
        <f t="shared" ref="N707" ca="1" si="672">NPV($E$23+$F$23,H707:M707)+$H$4</f>
        <v>1228167.7294197315</v>
      </c>
    </row>
    <row r="708" spans="4:17" x14ac:dyDescent="0.25">
      <c r="D708" s="33"/>
      <c r="E708" s="33">
        <v>678</v>
      </c>
      <c r="F708" s="37"/>
      <c r="G708" s="37"/>
      <c r="H708" s="37">
        <f t="shared" si="505"/>
        <v>868800</v>
      </c>
      <c r="I708" s="37">
        <f ca="1">(RANDBETWEEN($E$14,$F$14)*$I$9)+$I$10+$I$18</f>
        <v>-189819.59895313275</v>
      </c>
      <c r="J708" s="37">
        <f ca="1">(RANDBETWEEN($E$14,$F$14)*$J$9)+$J$10+$J$18</f>
        <v>221933.48456383706</v>
      </c>
      <c r="K708" s="37">
        <f ca="1">(RANDBETWEEN($E$14,$F$14)*$K$9)+$K$10+$K$18</f>
        <v>260393.25392346107</v>
      </c>
      <c r="L708" s="37">
        <f ca="1">(RANDBETWEEN($E$14,$F$14)*$L$9)+$L$10+$L$18</f>
        <v>671221.40421803342</v>
      </c>
      <c r="M708" s="37">
        <f ca="1">(RANDBETWEEN($E$14,$F$14)*$M$9)+$M$10+$M$18</f>
        <v>1043245.7659826493</v>
      </c>
      <c r="N708" s="37">
        <f t="shared" ref="N708" ca="1" si="673">NPV($E$23+$F$23,H708:M708)+$H$4</f>
        <v>1305984.8491010414</v>
      </c>
    </row>
    <row r="709" spans="4:17" x14ac:dyDescent="0.25">
      <c r="D709" s="33"/>
      <c r="E709" s="33">
        <v>679</v>
      </c>
      <c r="F709" s="37"/>
      <c r="G709" s="37"/>
      <c r="H709" s="37">
        <f t="shared" si="505"/>
        <v>868800</v>
      </c>
      <c r="I709" s="37">
        <f ca="1">(RANDBETWEEN($E$14,$F$14)*$I$9)+$I$10+$I$18</f>
        <v>-369472.96408399101</v>
      </c>
      <c r="J709" s="37">
        <f ca="1">(RANDBETWEEN($E$14,$F$14)*$J$9)+$J$10+$J$18</f>
        <v>221933.48456383706</v>
      </c>
      <c r="K709" s="37">
        <f ca="1">(RANDBETWEEN($E$14,$F$14)*$K$9)+$K$10+$K$18</f>
        <v>260393.25392346107</v>
      </c>
      <c r="L709" s="37">
        <f ca="1">(RANDBETWEEN($E$14,$F$14)*$L$9)+$L$10+$L$18</f>
        <v>999716.39339203853</v>
      </c>
      <c r="M709" s="37">
        <f ca="1">(RANDBETWEEN($E$14,$F$14)*$M$9)+$M$10+$M$18</f>
        <v>1043245.7659826493</v>
      </c>
      <c r="N709" s="37">
        <f t="shared" ref="N709" ca="1" si="674">NPV($E$23+$F$23,H709:M709)+$H$4</f>
        <v>1400418.3705947716</v>
      </c>
    </row>
    <row r="710" spans="4:17" x14ac:dyDescent="0.25">
      <c r="D710" s="33"/>
      <c r="E710" s="33">
        <v>680</v>
      </c>
      <c r="F710" s="37"/>
      <c r="G710" s="37"/>
      <c r="H710" s="37">
        <f t="shared" si="505"/>
        <v>868800</v>
      </c>
      <c r="I710" s="37">
        <f ca="1">(RANDBETWEEN($E$14,$F$14)*$I$9)+$I$10+$I$18</f>
        <v>-189819.59895313275</v>
      </c>
      <c r="J710" s="37">
        <f ca="1">(RANDBETWEEN($E$14,$F$14)*$J$9)+$J$10+$J$18</f>
        <v>-9238.8910066427197</v>
      </c>
      <c r="K710" s="37">
        <f ca="1">(RANDBETWEEN($E$14,$F$14)*$K$9)+$K$10+$K$18</f>
        <v>260393.25392346107</v>
      </c>
      <c r="L710" s="37">
        <f ca="1">(RANDBETWEEN($E$14,$F$14)*$L$9)+$L$10+$L$18</f>
        <v>999716.39339203853</v>
      </c>
      <c r="M710" s="37">
        <f ca="1">(RANDBETWEEN($E$14,$F$14)*$M$9)+$M$10+$M$18</f>
        <v>1424944.0925515993</v>
      </c>
      <c r="N710" s="37">
        <f t="shared" ref="N710" ca="1" si="675">NPV($E$23+$F$23,H710:M710)+$H$4</f>
        <v>1648503.0470692138</v>
      </c>
    </row>
    <row r="711" spans="4:17" x14ac:dyDescent="0.25">
      <c r="D711" s="33"/>
      <c r="E711" s="33">
        <v>681</v>
      </c>
      <c r="F711" s="37"/>
      <c r="G711" s="37"/>
      <c r="H711" s="37">
        <f t="shared" si="505"/>
        <v>868800</v>
      </c>
      <c r="I711" s="37">
        <f ca="1">(RANDBETWEEN($E$14,$F$14)*$I$9)+$I$10+$I$18</f>
        <v>-369472.96408399101</v>
      </c>
      <c r="J711" s="37">
        <f ca="1">(RANDBETWEEN($E$14,$F$14)*$J$9)+$J$10+$J$18</f>
        <v>221933.48456383706</v>
      </c>
      <c r="K711" s="37">
        <f ca="1">(RANDBETWEEN($E$14,$F$14)*$K$9)+$K$10+$K$18</f>
        <v>260393.25392346107</v>
      </c>
      <c r="L711" s="37">
        <f ca="1">(RANDBETWEEN($E$14,$F$14)*$L$9)+$L$10+$L$18</f>
        <v>671221.40421803342</v>
      </c>
      <c r="M711" s="37">
        <f ca="1">(RANDBETWEEN($E$14,$F$14)*$M$9)+$M$10+$M$18</f>
        <v>1043245.7659826493</v>
      </c>
      <c r="N711" s="37">
        <f t="shared" ref="N711" ca="1" si="676">NPV($E$23+$F$23,H711:M711)+$H$4</f>
        <v>1143033.9510231656</v>
      </c>
    </row>
    <row r="712" spans="4:17" x14ac:dyDescent="0.25">
      <c r="D712" s="33"/>
      <c r="E712" s="33">
        <v>682</v>
      </c>
      <c r="F712" s="37"/>
      <c r="G712" s="37"/>
      <c r="H712" s="37">
        <f t="shared" si="505"/>
        <v>868800</v>
      </c>
      <c r="I712" s="37">
        <f ca="1">(RANDBETWEEN($E$14,$F$14)*$I$9)+$I$10+$I$18</f>
        <v>-369472.96408399101</v>
      </c>
      <c r="J712" s="37">
        <f ca="1">(RANDBETWEEN($E$14,$F$14)*$J$9)+$J$10+$J$18</f>
        <v>-9238.8910066427197</v>
      </c>
      <c r="K712" s="37">
        <f ca="1">(RANDBETWEEN($E$14,$F$14)*$K$9)+$K$10+$K$18</f>
        <v>260393.25392346107</v>
      </c>
      <c r="L712" s="37">
        <f ca="1">(RANDBETWEEN($E$14,$F$14)*$L$9)+$L$10+$L$18</f>
        <v>671221.40421803342</v>
      </c>
      <c r="M712" s="37">
        <f ca="1">(RANDBETWEEN($E$14,$F$14)*$M$9)+$M$10+$M$18</f>
        <v>1043245.7659826493</v>
      </c>
      <c r="N712" s="37">
        <f t="shared" ref="N712" ca="1" si="677">NPV($E$23+$F$23,H712:M712)+$H$4</f>
        <v>943338.56126354542</v>
      </c>
      <c r="Q712" s="37"/>
    </row>
    <row r="713" spans="4:17" x14ac:dyDescent="0.25">
      <c r="D713" s="33"/>
      <c r="E713" s="33">
        <v>683</v>
      </c>
      <c r="F713" s="37"/>
      <c r="G713" s="37"/>
      <c r="H713" s="37">
        <f t="shared" si="505"/>
        <v>868800</v>
      </c>
      <c r="I713" s="37">
        <f ca="1">(RANDBETWEEN($E$14,$F$14)*$I$9)+$I$10+$I$18</f>
        <v>-189819.59895313275</v>
      </c>
      <c r="J713" s="37">
        <f ca="1">(RANDBETWEEN($E$14,$F$14)*$J$9)+$J$10+$J$18</f>
        <v>221933.48456383706</v>
      </c>
      <c r="K713" s="37">
        <f ca="1">(RANDBETWEEN($E$14,$F$14)*$K$9)+$K$10+$K$18</f>
        <v>260393.25392346107</v>
      </c>
      <c r="L713" s="37">
        <f ca="1">(RANDBETWEEN($E$14,$F$14)*$L$9)+$L$10+$L$18</f>
        <v>999716.39339203853</v>
      </c>
      <c r="M713" s="37">
        <f ca="1">(RANDBETWEEN($E$14,$F$14)*$M$9)+$M$10+$M$18</f>
        <v>1424944.0925515993</v>
      </c>
      <c r="N713" s="37">
        <f t="shared" ref="N713" ca="1" si="678">NPV($E$23+$F$23,H713:M713)+$H$4</f>
        <v>1848198.4368288331</v>
      </c>
    </row>
    <row r="714" spans="4:17" x14ac:dyDescent="0.25">
      <c r="D714" s="33"/>
      <c r="E714" s="33">
        <v>684</v>
      </c>
      <c r="F714" s="37"/>
      <c r="G714" s="37"/>
      <c r="H714" s="37">
        <f t="shared" si="505"/>
        <v>868800</v>
      </c>
      <c r="I714" s="37">
        <f ca="1">(RANDBETWEEN($E$14,$F$14)*$I$9)+$I$10+$I$18</f>
        <v>-189819.59895313275</v>
      </c>
      <c r="J714" s="37">
        <f ca="1">(RANDBETWEEN($E$14,$F$14)*$J$9)+$J$10+$J$18</f>
        <v>221933.48456383706</v>
      </c>
      <c r="K714" s="37">
        <f ca="1">(RANDBETWEEN($E$14,$F$14)*$K$9)+$K$10+$K$18</f>
        <v>260393.25392346107</v>
      </c>
      <c r="L714" s="37">
        <f ca="1">(RANDBETWEEN($E$14,$F$14)*$L$9)+$L$10+$L$18</f>
        <v>999716.39339203853</v>
      </c>
      <c r="M714" s="37">
        <f ca="1">(RANDBETWEEN($E$14,$F$14)*$M$9)+$M$10+$M$18</f>
        <v>1424944.0925515993</v>
      </c>
      <c r="N714" s="37">
        <f t="shared" ref="N714" ca="1" si="679">NPV($E$23+$F$23,H714:M714)+$H$4</f>
        <v>1848198.4368288331</v>
      </c>
    </row>
    <row r="715" spans="4:17" x14ac:dyDescent="0.25">
      <c r="D715" s="33"/>
      <c r="E715" s="33">
        <v>685</v>
      </c>
      <c r="F715" s="37"/>
      <c r="G715" s="37"/>
      <c r="H715" s="37">
        <f t="shared" si="505"/>
        <v>868800</v>
      </c>
      <c r="I715" s="37">
        <f ca="1">(RANDBETWEEN($E$14,$F$14)*$I$9)+$I$10+$I$18</f>
        <v>-189819.59895313275</v>
      </c>
      <c r="J715" s="37">
        <f ca="1">(RANDBETWEEN($E$14,$F$14)*$J$9)+$J$10+$J$18</f>
        <v>-9238.8910066427197</v>
      </c>
      <c r="K715" s="37">
        <f ca="1">(RANDBETWEEN($E$14,$F$14)*$K$9)+$K$10+$K$18</f>
        <v>24363.532183028292</v>
      </c>
      <c r="L715" s="37">
        <f ca="1">(RANDBETWEEN($E$14,$F$14)*$L$9)+$L$10+$L$18</f>
        <v>999716.39339203853</v>
      </c>
      <c r="M715" s="37">
        <f ca="1">(RANDBETWEEN($E$14,$F$14)*$M$9)+$M$10+$M$18</f>
        <v>1043245.7659826493</v>
      </c>
      <c r="N715" s="37">
        <f t="shared" ref="N715" ca="1" si="680">NPV($E$23+$F$23,H715:M715)+$H$4</f>
        <v>1169491.6427127346</v>
      </c>
    </row>
    <row r="716" spans="4:17" x14ac:dyDescent="0.25">
      <c r="D716" s="33"/>
      <c r="E716" s="33">
        <v>686</v>
      </c>
      <c r="F716" s="37"/>
      <c r="G716" s="37"/>
      <c r="H716" s="37">
        <f t="shared" si="505"/>
        <v>868800</v>
      </c>
      <c r="I716" s="37">
        <f ca="1">(RANDBETWEEN($E$14,$F$14)*$I$9)+$I$10+$I$18</f>
        <v>-369472.96408399101</v>
      </c>
      <c r="J716" s="37">
        <f ca="1">(RANDBETWEEN($E$14,$F$14)*$J$9)+$J$10+$J$18</f>
        <v>221933.48456383706</v>
      </c>
      <c r="K716" s="37">
        <f ca="1">(RANDBETWEEN($E$14,$F$14)*$K$9)+$K$10+$K$18</f>
        <v>260393.25392346107</v>
      </c>
      <c r="L716" s="37">
        <f ca="1">(RANDBETWEEN($E$14,$F$14)*$L$9)+$L$10+$L$18</f>
        <v>999716.39339203853</v>
      </c>
      <c r="M716" s="37">
        <f ca="1">(RANDBETWEEN($E$14,$F$14)*$M$9)+$M$10+$M$18</f>
        <v>1043245.7659826493</v>
      </c>
      <c r="N716" s="37">
        <f t="shared" ref="N716" ca="1" si="681">NPV($E$23+$F$23,H716:M716)+$H$4</f>
        <v>1400418.3705947716</v>
      </c>
    </row>
    <row r="717" spans="4:17" x14ac:dyDescent="0.25">
      <c r="D717" s="33"/>
      <c r="E717" s="33">
        <v>687</v>
      </c>
      <c r="F717" s="37"/>
      <c r="G717" s="37"/>
      <c r="H717" s="37">
        <f t="shared" si="505"/>
        <v>868800</v>
      </c>
      <c r="I717" s="37">
        <f ca="1">(RANDBETWEEN($E$14,$F$14)*$I$9)+$I$10+$I$18</f>
        <v>-369472.96408399101</v>
      </c>
      <c r="J717" s="37">
        <f ca="1">(RANDBETWEEN($E$14,$F$14)*$J$9)+$J$10+$J$18</f>
        <v>-9238.8910066427197</v>
      </c>
      <c r="K717" s="37">
        <f ca="1">(RANDBETWEEN($E$14,$F$14)*$K$9)+$K$10+$K$18</f>
        <v>260393.25392346107</v>
      </c>
      <c r="L717" s="37">
        <f ca="1">(RANDBETWEEN($E$14,$F$14)*$L$9)+$L$10+$L$18</f>
        <v>671221.40421803342</v>
      </c>
      <c r="M717" s="37">
        <f ca="1">(RANDBETWEEN($E$14,$F$14)*$M$9)+$M$10+$M$18</f>
        <v>1043245.7659826493</v>
      </c>
      <c r="N717" s="37">
        <f t="shared" ref="N717" ca="1" si="682">NPV($E$23+$F$23,H717:M717)+$H$4</f>
        <v>943338.56126354542</v>
      </c>
    </row>
    <row r="718" spans="4:17" x14ac:dyDescent="0.25">
      <c r="D718" s="33"/>
      <c r="E718" s="33">
        <v>688</v>
      </c>
      <c r="F718" s="37"/>
      <c r="G718" s="37"/>
      <c r="H718" s="37">
        <f t="shared" si="505"/>
        <v>868800</v>
      </c>
      <c r="I718" s="37">
        <f ca="1">(RANDBETWEEN($E$14,$F$14)*$I$9)+$I$10+$I$18</f>
        <v>-189819.59895313275</v>
      </c>
      <c r="J718" s="37">
        <f ca="1">(RANDBETWEEN($E$14,$F$14)*$J$9)+$J$10+$J$18</f>
        <v>-9238.8910066427197</v>
      </c>
      <c r="K718" s="37">
        <f ca="1">(RANDBETWEEN($E$14,$F$14)*$K$9)+$K$10+$K$18</f>
        <v>260393.25392346107</v>
      </c>
      <c r="L718" s="37">
        <f ca="1">(RANDBETWEEN($E$14,$F$14)*$L$9)+$L$10+$L$18</f>
        <v>671221.40421803342</v>
      </c>
      <c r="M718" s="37">
        <f ca="1">(RANDBETWEEN($E$14,$F$14)*$M$9)+$M$10+$M$18</f>
        <v>1424944.0925515993</v>
      </c>
      <c r="N718" s="37">
        <f t="shared" ref="N718" ca="1" si="683">NPV($E$23+$F$23,H718:M718)+$H$4</f>
        <v>1391118.6274976074</v>
      </c>
      <c r="Q718" s="37"/>
    </row>
    <row r="719" spans="4:17" x14ac:dyDescent="0.25">
      <c r="D719" s="33"/>
      <c r="E719" s="33">
        <v>689</v>
      </c>
      <c r="F719" s="37"/>
      <c r="G719" s="37"/>
      <c r="H719" s="37">
        <f t="shared" si="505"/>
        <v>868800</v>
      </c>
      <c r="I719" s="37">
        <f ca="1">(RANDBETWEEN($E$14,$F$14)*$I$9)+$I$10+$I$18</f>
        <v>-189819.59895313275</v>
      </c>
      <c r="J719" s="37">
        <f ca="1">(RANDBETWEEN($E$14,$F$14)*$J$9)+$J$10+$J$18</f>
        <v>-9238.8910066427197</v>
      </c>
      <c r="K719" s="37">
        <f ca="1">(RANDBETWEEN($E$14,$F$14)*$K$9)+$K$10+$K$18</f>
        <v>260393.25392346107</v>
      </c>
      <c r="L719" s="37">
        <f ca="1">(RANDBETWEEN($E$14,$F$14)*$L$9)+$L$10+$L$18</f>
        <v>999716.39339203853</v>
      </c>
      <c r="M719" s="37">
        <f ca="1">(RANDBETWEEN($E$14,$F$14)*$M$9)+$M$10+$M$18</f>
        <v>1424944.0925515993</v>
      </c>
      <c r="N719" s="37">
        <f t="shared" ref="N719" ca="1" si="684">NPV($E$23+$F$23,H719:M719)+$H$4</f>
        <v>1648503.0470692138</v>
      </c>
    </row>
    <row r="720" spans="4:17" x14ac:dyDescent="0.25">
      <c r="D720" s="33"/>
      <c r="E720" s="33">
        <v>690</v>
      </c>
      <c r="F720" s="37"/>
      <c r="G720" s="37"/>
      <c r="H720" s="37">
        <f t="shared" si="505"/>
        <v>868800</v>
      </c>
      <c r="I720" s="37">
        <f ca="1">(RANDBETWEEN($E$14,$F$14)*$I$9)+$I$10+$I$18</f>
        <v>-189819.59895313275</v>
      </c>
      <c r="J720" s="37">
        <f ca="1">(RANDBETWEEN($E$14,$F$14)*$J$9)+$J$10+$J$18</f>
        <v>221933.48456383706</v>
      </c>
      <c r="K720" s="37">
        <f ca="1">(RANDBETWEEN($E$14,$F$14)*$K$9)+$K$10+$K$18</f>
        <v>24363.532183028292</v>
      </c>
      <c r="L720" s="37">
        <f ca="1">(RANDBETWEEN($E$14,$F$14)*$L$9)+$L$10+$L$18</f>
        <v>999716.39339203853</v>
      </c>
      <c r="M720" s="37">
        <f ca="1">(RANDBETWEEN($E$14,$F$14)*$M$9)+$M$10+$M$18</f>
        <v>1043245.7659826493</v>
      </c>
      <c r="N720" s="37">
        <f t="shared" ref="N720" ca="1" si="685">NPV($E$23+$F$23,H720:M720)+$H$4</f>
        <v>1369187.0324723539</v>
      </c>
    </row>
    <row r="721" spans="4:17" x14ac:dyDescent="0.25">
      <c r="D721" s="33"/>
      <c r="E721" s="33">
        <v>691</v>
      </c>
      <c r="F721" s="37"/>
      <c r="G721" s="37"/>
      <c r="H721" s="37">
        <f t="shared" si="505"/>
        <v>868800</v>
      </c>
      <c r="I721" s="37">
        <f ca="1">(RANDBETWEEN($E$14,$F$14)*$I$9)+$I$10+$I$18</f>
        <v>-369472.96408399101</v>
      </c>
      <c r="J721" s="37">
        <f ca="1">(RANDBETWEEN($E$14,$F$14)*$J$9)+$J$10+$J$18</f>
        <v>-9238.8910066427197</v>
      </c>
      <c r="K721" s="37">
        <f ca="1">(RANDBETWEEN($E$14,$F$14)*$K$9)+$K$10+$K$18</f>
        <v>24363.532183028292</v>
      </c>
      <c r="L721" s="37">
        <f ca="1">(RANDBETWEEN($E$14,$F$14)*$L$9)+$L$10+$L$18</f>
        <v>671221.40421803342</v>
      </c>
      <c r="M721" s="37">
        <f ca="1">(RANDBETWEEN($E$14,$F$14)*$M$9)+$M$10+$M$18</f>
        <v>1043245.7659826493</v>
      </c>
      <c r="N721" s="37">
        <f t="shared" ref="N721" ca="1" si="686">NPV($E$23+$F$23,H721:M721)+$H$4</f>
        <v>749156.32506325236</v>
      </c>
    </row>
    <row r="722" spans="4:17" x14ac:dyDescent="0.25">
      <c r="D722" s="33"/>
      <c r="E722" s="33">
        <v>692</v>
      </c>
      <c r="F722" s="37"/>
      <c r="G722" s="37"/>
      <c r="H722" s="37">
        <f t="shared" si="505"/>
        <v>868800</v>
      </c>
      <c r="I722" s="37">
        <f ca="1">(RANDBETWEEN($E$14,$F$14)*$I$9)+$I$10+$I$18</f>
        <v>-189819.59895313275</v>
      </c>
      <c r="J722" s="37">
        <f ca="1">(RANDBETWEEN($E$14,$F$14)*$J$9)+$J$10+$J$18</f>
        <v>221933.48456383706</v>
      </c>
      <c r="K722" s="37">
        <f ca="1">(RANDBETWEEN($E$14,$F$14)*$K$9)+$K$10+$K$18</f>
        <v>24363.532183028292</v>
      </c>
      <c r="L722" s="37">
        <f ca="1">(RANDBETWEEN($E$14,$F$14)*$L$9)+$L$10+$L$18</f>
        <v>999716.39339203853</v>
      </c>
      <c r="M722" s="37">
        <f ca="1">(RANDBETWEEN($E$14,$F$14)*$M$9)+$M$10+$M$18</f>
        <v>1424944.0925515993</v>
      </c>
      <c r="N722" s="37">
        <f t="shared" ref="N722" ca="1" si="687">NPV($E$23+$F$23,H722:M722)+$H$4</f>
        <v>1654016.20062854</v>
      </c>
    </row>
    <row r="723" spans="4:17" x14ac:dyDescent="0.25">
      <c r="D723" s="33"/>
      <c r="E723" s="33">
        <v>693</v>
      </c>
      <c r="F723" s="37"/>
      <c r="G723" s="37"/>
      <c r="H723" s="37">
        <f t="shared" si="505"/>
        <v>868800</v>
      </c>
      <c r="I723" s="37">
        <f ca="1">(RANDBETWEEN($E$14,$F$14)*$I$9)+$I$10+$I$18</f>
        <v>-189819.59895313275</v>
      </c>
      <c r="J723" s="37">
        <f ca="1">(RANDBETWEEN($E$14,$F$14)*$J$9)+$J$10+$J$18</f>
        <v>221933.48456383706</v>
      </c>
      <c r="K723" s="37">
        <f ca="1">(RANDBETWEEN($E$14,$F$14)*$K$9)+$K$10+$K$18</f>
        <v>260393.25392346107</v>
      </c>
      <c r="L723" s="37">
        <f ca="1">(RANDBETWEEN($E$14,$F$14)*$L$9)+$L$10+$L$18</f>
        <v>999716.39339203853</v>
      </c>
      <c r="M723" s="37">
        <f ca="1">(RANDBETWEEN($E$14,$F$14)*$M$9)+$M$10+$M$18</f>
        <v>1424944.0925515993</v>
      </c>
      <c r="N723" s="37">
        <f t="shared" ref="N723" ca="1" si="688">NPV($E$23+$F$23,H723:M723)+$H$4</f>
        <v>1848198.4368288331</v>
      </c>
    </row>
    <row r="724" spans="4:17" x14ac:dyDescent="0.25">
      <c r="D724" s="33"/>
      <c r="E724" s="33">
        <v>694</v>
      </c>
      <c r="F724" s="37"/>
      <c r="G724" s="37"/>
      <c r="H724" s="37">
        <f t="shared" si="505"/>
        <v>868800</v>
      </c>
      <c r="I724" s="37">
        <f ca="1">(RANDBETWEEN($E$14,$F$14)*$I$9)+$I$10+$I$18</f>
        <v>-189819.59895313275</v>
      </c>
      <c r="J724" s="37">
        <f ca="1">(RANDBETWEEN($E$14,$F$14)*$J$9)+$J$10+$J$18</f>
        <v>-9238.8910066427197</v>
      </c>
      <c r="K724" s="37">
        <f ca="1">(RANDBETWEEN($E$14,$F$14)*$K$9)+$K$10+$K$18</f>
        <v>24363.532183028292</v>
      </c>
      <c r="L724" s="37">
        <f ca="1">(RANDBETWEEN($E$14,$F$14)*$L$9)+$L$10+$L$18</f>
        <v>999716.39339203853</v>
      </c>
      <c r="M724" s="37">
        <f ca="1">(RANDBETWEEN($E$14,$F$14)*$M$9)+$M$10+$M$18</f>
        <v>1043245.7659826493</v>
      </c>
      <c r="N724" s="37">
        <f t="shared" ref="N724" ca="1" si="689">NPV($E$23+$F$23,H724:M724)+$H$4</f>
        <v>1169491.6427127346</v>
      </c>
    </row>
    <row r="725" spans="4:17" x14ac:dyDescent="0.25">
      <c r="D725" s="33"/>
      <c r="E725" s="33">
        <v>695</v>
      </c>
      <c r="F725" s="37"/>
      <c r="G725" s="37"/>
      <c r="H725" s="37">
        <f t="shared" si="505"/>
        <v>868800</v>
      </c>
      <c r="I725" s="37">
        <f ca="1">(RANDBETWEEN($E$14,$F$14)*$I$9)+$I$10+$I$18</f>
        <v>-189819.59895313275</v>
      </c>
      <c r="J725" s="37">
        <f ca="1">(RANDBETWEEN($E$14,$F$14)*$J$9)+$J$10+$J$18</f>
        <v>221933.48456383706</v>
      </c>
      <c r="K725" s="37">
        <f ca="1">(RANDBETWEEN($E$14,$F$14)*$K$9)+$K$10+$K$18</f>
        <v>24363.532183028292</v>
      </c>
      <c r="L725" s="37">
        <f ca="1">(RANDBETWEEN($E$14,$F$14)*$L$9)+$L$10+$L$18</f>
        <v>671221.40421803342</v>
      </c>
      <c r="M725" s="37">
        <f ca="1">(RANDBETWEEN($E$14,$F$14)*$M$9)+$M$10+$M$18</f>
        <v>1043245.7659826493</v>
      </c>
      <c r="N725" s="37">
        <f t="shared" ref="N725" ca="1" si="690">NPV($E$23+$F$23,H725:M725)+$H$4</f>
        <v>1111802.6129007479</v>
      </c>
    </row>
    <row r="726" spans="4:17" x14ac:dyDescent="0.25">
      <c r="D726" s="33"/>
      <c r="E726" s="33">
        <v>696</v>
      </c>
      <c r="F726" s="37"/>
      <c r="G726" s="37"/>
      <c r="H726" s="37">
        <f t="shared" si="505"/>
        <v>868800</v>
      </c>
      <c r="I726" s="37">
        <f ca="1">(RANDBETWEEN($E$14,$F$14)*$I$9)+$I$10+$I$18</f>
        <v>-189819.59895313275</v>
      </c>
      <c r="J726" s="37">
        <f ca="1">(RANDBETWEEN($E$14,$F$14)*$J$9)+$J$10+$J$18</f>
        <v>-9238.8910066427197</v>
      </c>
      <c r="K726" s="37">
        <f ca="1">(RANDBETWEEN($E$14,$F$14)*$K$9)+$K$10+$K$18</f>
        <v>260393.25392346107</v>
      </c>
      <c r="L726" s="37">
        <f ca="1">(RANDBETWEEN($E$14,$F$14)*$L$9)+$L$10+$L$18</f>
        <v>999716.39339203853</v>
      </c>
      <c r="M726" s="37">
        <f ca="1">(RANDBETWEEN($E$14,$F$14)*$M$9)+$M$10+$M$18</f>
        <v>1043245.7659826493</v>
      </c>
      <c r="N726" s="37">
        <f t="shared" ref="N726" ca="1" si="691">NPV($E$23+$F$23,H726:M726)+$H$4</f>
        <v>1363673.8789130282</v>
      </c>
      <c r="Q726" s="37"/>
    </row>
    <row r="727" spans="4:17" x14ac:dyDescent="0.25">
      <c r="D727" s="33"/>
      <c r="E727" s="33">
        <v>697</v>
      </c>
      <c r="F727" s="37"/>
      <c r="G727" s="37"/>
      <c r="H727" s="37">
        <f t="shared" si="505"/>
        <v>868800</v>
      </c>
      <c r="I727" s="37">
        <f ca="1">(RANDBETWEEN($E$14,$F$14)*$I$9)+$I$10+$I$18</f>
        <v>-369472.96408399101</v>
      </c>
      <c r="J727" s="37">
        <f ca="1">(RANDBETWEEN($E$14,$F$14)*$J$9)+$J$10+$J$18</f>
        <v>-9238.8910066427197</v>
      </c>
      <c r="K727" s="37">
        <f ca="1">(RANDBETWEEN($E$14,$F$14)*$K$9)+$K$10+$K$18</f>
        <v>24363.532183028292</v>
      </c>
      <c r="L727" s="37">
        <f ca="1">(RANDBETWEEN($E$14,$F$14)*$L$9)+$L$10+$L$18</f>
        <v>671221.40421803342</v>
      </c>
      <c r="M727" s="37">
        <f ca="1">(RANDBETWEEN($E$14,$F$14)*$M$9)+$M$10+$M$18</f>
        <v>1043245.7659826493</v>
      </c>
      <c r="N727" s="37">
        <f t="shared" ref="N727" ca="1" si="692">NPV($E$23+$F$23,H727:M727)+$H$4</f>
        <v>749156.32506325236</v>
      </c>
    </row>
    <row r="728" spans="4:17" x14ac:dyDescent="0.25">
      <c r="D728" s="33"/>
      <c r="E728" s="33">
        <v>698</v>
      </c>
      <c r="F728" s="37"/>
      <c r="G728" s="37"/>
      <c r="H728" s="37">
        <f t="shared" si="505"/>
        <v>868800</v>
      </c>
      <c r="I728" s="37">
        <f ca="1">(RANDBETWEEN($E$14,$F$14)*$I$9)+$I$10+$I$18</f>
        <v>-369472.96408399101</v>
      </c>
      <c r="J728" s="37">
        <f ca="1">(RANDBETWEEN($E$14,$F$14)*$J$9)+$J$10+$J$18</f>
        <v>-9238.8910066427197</v>
      </c>
      <c r="K728" s="37">
        <f ca="1">(RANDBETWEEN($E$14,$F$14)*$K$9)+$K$10+$K$18</f>
        <v>260393.25392346107</v>
      </c>
      <c r="L728" s="37">
        <f ca="1">(RANDBETWEEN($E$14,$F$14)*$L$9)+$L$10+$L$18</f>
        <v>999716.39339203853</v>
      </c>
      <c r="M728" s="37">
        <f ca="1">(RANDBETWEEN($E$14,$F$14)*$M$9)+$M$10+$M$18</f>
        <v>1043245.7659826493</v>
      </c>
      <c r="N728" s="37">
        <f t="shared" ref="N728" ca="1" si="693">NPV($E$23+$F$23,H728:M728)+$H$4</f>
        <v>1200722.9808351514</v>
      </c>
    </row>
    <row r="729" spans="4:17" x14ac:dyDescent="0.25">
      <c r="D729" s="33"/>
      <c r="E729" s="33">
        <v>699</v>
      </c>
      <c r="F729" s="37"/>
      <c r="G729" s="37"/>
      <c r="H729" s="37">
        <f t="shared" si="505"/>
        <v>868800</v>
      </c>
      <c r="I729" s="37">
        <f ca="1">(RANDBETWEEN($E$14,$F$14)*$I$9)+$I$10+$I$18</f>
        <v>-189819.59895313275</v>
      </c>
      <c r="J729" s="37">
        <f ca="1">(RANDBETWEEN($E$14,$F$14)*$J$9)+$J$10+$J$18</f>
        <v>-9238.8910066427197</v>
      </c>
      <c r="K729" s="37">
        <f ca="1">(RANDBETWEEN($E$14,$F$14)*$K$9)+$K$10+$K$18</f>
        <v>260393.25392346107</v>
      </c>
      <c r="L729" s="37">
        <f ca="1">(RANDBETWEEN($E$14,$F$14)*$L$9)+$L$10+$L$18</f>
        <v>999716.39339203853</v>
      </c>
      <c r="M729" s="37">
        <f ca="1">(RANDBETWEEN($E$14,$F$14)*$M$9)+$M$10+$M$18</f>
        <v>1043245.7659826493</v>
      </c>
      <c r="N729" s="37">
        <f t="shared" ref="N729" ca="1" si="694">NPV($E$23+$F$23,H729:M729)+$H$4</f>
        <v>1363673.8789130282</v>
      </c>
    </row>
    <row r="730" spans="4:17" x14ac:dyDescent="0.25">
      <c r="D730" s="33"/>
      <c r="E730" s="33">
        <v>700</v>
      </c>
      <c r="F730" s="37"/>
      <c r="G730" s="37"/>
      <c r="H730" s="37">
        <f t="shared" si="505"/>
        <v>868800</v>
      </c>
      <c r="I730" s="37">
        <f ca="1">(RANDBETWEEN($E$14,$F$14)*$I$9)+$I$10+$I$18</f>
        <v>-369472.96408399101</v>
      </c>
      <c r="J730" s="37">
        <f ca="1">(RANDBETWEEN($E$14,$F$14)*$J$9)+$J$10+$J$18</f>
        <v>-9238.8910066427197</v>
      </c>
      <c r="K730" s="37">
        <f ca="1">(RANDBETWEEN($E$14,$F$14)*$K$9)+$K$10+$K$18</f>
        <v>24363.532183028292</v>
      </c>
      <c r="L730" s="37">
        <f ca="1">(RANDBETWEEN($E$14,$F$14)*$L$9)+$L$10+$L$18</f>
        <v>999716.39339203853</v>
      </c>
      <c r="M730" s="37">
        <f ca="1">(RANDBETWEEN($E$14,$F$14)*$M$9)+$M$10+$M$18</f>
        <v>1043245.7659826493</v>
      </c>
      <c r="N730" s="37">
        <f t="shared" ref="N730" ca="1" si="695">NPV($E$23+$F$23,H730:M730)+$H$4</f>
        <v>1006540.7446348586</v>
      </c>
    </row>
    <row r="731" spans="4:17" x14ac:dyDescent="0.25">
      <c r="D731" s="33"/>
      <c r="E731" s="33">
        <v>701</v>
      </c>
      <c r="F731" s="37"/>
      <c r="G731" s="37"/>
      <c r="H731" s="37">
        <f t="shared" si="505"/>
        <v>868800</v>
      </c>
      <c r="I731" s="37">
        <f ca="1">(RANDBETWEEN($E$14,$F$14)*$I$9)+$I$10+$I$18</f>
        <v>-369472.96408399101</v>
      </c>
      <c r="J731" s="37">
        <f ca="1">(RANDBETWEEN($E$14,$F$14)*$J$9)+$J$10+$J$18</f>
        <v>221933.48456383706</v>
      </c>
      <c r="K731" s="37">
        <f ca="1">(RANDBETWEEN($E$14,$F$14)*$K$9)+$K$10+$K$18</f>
        <v>24363.532183028292</v>
      </c>
      <c r="L731" s="37">
        <f ca="1">(RANDBETWEEN($E$14,$F$14)*$L$9)+$L$10+$L$18</f>
        <v>671221.40421803342</v>
      </c>
      <c r="M731" s="37">
        <f ca="1">(RANDBETWEEN($E$14,$F$14)*$M$9)+$M$10+$M$18</f>
        <v>1043245.7659826493</v>
      </c>
      <c r="N731" s="37">
        <f t="shared" ref="N731" ca="1" si="696">NPV($E$23+$F$23,H731:M731)+$H$4</f>
        <v>948851.71482287208</v>
      </c>
    </row>
    <row r="732" spans="4:17" x14ac:dyDescent="0.25">
      <c r="D732" s="33"/>
      <c r="E732" s="33">
        <v>702</v>
      </c>
      <c r="F732" s="37"/>
      <c r="G732" s="37"/>
      <c r="H732" s="37">
        <f t="shared" si="505"/>
        <v>868800</v>
      </c>
      <c r="I732" s="37">
        <f ca="1">(RANDBETWEEN($E$14,$F$14)*$I$9)+$I$10+$I$18</f>
        <v>-189819.59895313275</v>
      </c>
      <c r="J732" s="37">
        <f ca="1">(RANDBETWEEN($E$14,$F$14)*$J$9)+$J$10+$J$18</f>
        <v>221933.48456383706</v>
      </c>
      <c r="K732" s="37">
        <f ca="1">(RANDBETWEEN($E$14,$F$14)*$K$9)+$K$10+$K$18</f>
        <v>24363.532183028292</v>
      </c>
      <c r="L732" s="37">
        <f ca="1">(RANDBETWEEN($E$14,$F$14)*$L$9)+$L$10+$L$18</f>
        <v>671221.40421803342</v>
      </c>
      <c r="M732" s="37">
        <f ca="1">(RANDBETWEEN($E$14,$F$14)*$M$9)+$M$10+$M$18</f>
        <v>1424944.0925515993</v>
      </c>
      <c r="N732" s="37">
        <f t="shared" ref="N732" ca="1" si="697">NPV($E$23+$F$23,H732:M732)+$H$4</f>
        <v>1396631.7810569336</v>
      </c>
    </row>
    <row r="733" spans="4:17" x14ac:dyDescent="0.25">
      <c r="D733" s="33"/>
      <c r="E733" s="33">
        <v>703</v>
      </c>
      <c r="F733" s="37"/>
      <c r="G733" s="37"/>
      <c r="H733" s="37">
        <f t="shared" si="505"/>
        <v>868800</v>
      </c>
      <c r="I733" s="37">
        <f ca="1">(RANDBETWEEN($E$14,$F$14)*$I$9)+$I$10+$I$18</f>
        <v>-189819.59895313275</v>
      </c>
      <c r="J733" s="37">
        <f ca="1">(RANDBETWEEN($E$14,$F$14)*$J$9)+$J$10+$J$18</f>
        <v>-9238.8910066427197</v>
      </c>
      <c r="K733" s="37">
        <f ca="1">(RANDBETWEEN($E$14,$F$14)*$K$9)+$K$10+$K$18</f>
        <v>260393.25392346107</v>
      </c>
      <c r="L733" s="37">
        <f ca="1">(RANDBETWEEN($E$14,$F$14)*$L$9)+$L$10+$L$18</f>
        <v>999716.39339203853</v>
      </c>
      <c r="M733" s="37">
        <f ca="1">(RANDBETWEEN($E$14,$F$14)*$M$9)+$M$10+$M$18</f>
        <v>1424944.0925515993</v>
      </c>
      <c r="N733" s="37">
        <f t="shared" ref="N733" ca="1" si="698">NPV($E$23+$F$23,H733:M733)+$H$4</f>
        <v>1648503.0470692138</v>
      </c>
    </row>
    <row r="734" spans="4:17" x14ac:dyDescent="0.25">
      <c r="D734" s="33"/>
      <c r="E734" s="33">
        <v>704</v>
      </c>
      <c r="F734" s="37"/>
      <c r="G734" s="37"/>
      <c r="H734" s="37">
        <f t="shared" si="505"/>
        <v>868800</v>
      </c>
      <c r="I734" s="37">
        <f ca="1">(RANDBETWEEN($E$14,$F$14)*$I$9)+$I$10+$I$18</f>
        <v>-369472.96408399101</v>
      </c>
      <c r="J734" s="37">
        <f ca="1">(RANDBETWEEN($E$14,$F$14)*$J$9)+$J$10+$J$18</f>
        <v>-9238.8910066427197</v>
      </c>
      <c r="K734" s="37">
        <f ca="1">(RANDBETWEEN($E$14,$F$14)*$K$9)+$K$10+$K$18</f>
        <v>260393.25392346107</v>
      </c>
      <c r="L734" s="37">
        <f ca="1">(RANDBETWEEN($E$14,$F$14)*$L$9)+$L$10+$L$18</f>
        <v>999716.39339203853</v>
      </c>
      <c r="M734" s="37">
        <f ca="1">(RANDBETWEEN($E$14,$F$14)*$M$9)+$M$10+$M$18</f>
        <v>1424944.0925515993</v>
      </c>
      <c r="N734" s="37">
        <f t="shared" ref="N734" ca="1" si="699">NPV($E$23+$F$23,H734:M734)+$H$4</f>
        <v>1485552.1489913375</v>
      </c>
    </row>
    <row r="735" spans="4:17" x14ac:dyDescent="0.25">
      <c r="D735" s="33"/>
      <c r="E735" s="33">
        <v>705</v>
      </c>
      <c r="F735" s="37"/>
      <c r="G735" s="37"/>
      <c r="H735" s="37">
        <f t="shared" si="505"/>
        <v>868800</v>
      </c>
      <c r="I735" s="37">
        <f ca="1">(RANDBETWEEN($E$14,$F$14)*$I$9)+$I$10+$I$18</f>
        <v>-189819.59895313275</v>
      </c>
      <c r="J735" s="37">
        <f ca="1">(RANDBETWEEN($E$14,$F$14)*$J$9)+$J$10+$J$18</f>
        <v>221933.48456383706</v>
      </c>
      <c r="K735" s="37">
        <f ca="1">(RANDBETWEEN($E$14,$F$14)*$K$9)+$K$10+$K$18</f>
        <v>24363.532183028292</v>
      </c>
      <c r="L735" s="37">
        <f ca="1">(RANDBETWEEN($E$14,$F$14)*$L$9)+$L$10+$L$18</f>
        <v>999716.39339203853</v>
      </c>
      <c r="M735" s="37">
        <f ca="1">(RANDBETWEEN($E$14,$F$14)*$M$9)+$M$10+$M$18</f>
        <v>1424944.0925515993</v>
      </c>
      <c r="N735" s="37">
        <f t="shared" ref="N735" ca="1" si="700">NPV($E$23+$F$23,H735:M735)+$H$4</f>
        <v>1654016.20062854</v>
      </c>
    </row>
    <row r="736" spans="4:17" x14ac:dyDescent="0.25">
      <c r="D736" s="33"/>
      <c r="E736" s="33">
        <v>706</v>
      </c>
      <c r="F736" s="37"/>
      <c r="G736" s="37"/>
      <c r="H736" s="37">
        <f t="shared" si="505"/>
        <v>868800</v>
      </c>
      <c r="I736" s="37">
        <f ca="1">(RANDBETWEEN($E$14,$F$14)*$I$9)+$I$10+$I$18</f>
        <v>-369472.96408399101</v>
      </c>
      <c r="J736" s="37">
        <f ca="1">(RANDBETWEEN($E$14,$F$14)*$J$9)+$J$10+$J$18</f>
        <v>-9238.8910066427197</v>
      </c>
      <c r="K736" s="37">
        <f ca="1">(RANDBETWEEN($E$14,$F$14)*$K$9)+$K$10+$K$18</f>
        <v>260393.25392346107</v>
      </c>
      <c r="L736" s="37">
        <f ca="1">(RANDBETWEEN($E$14,$F$14)*$L$9)+$L$10+$L$18</f>
        <v>671221.40421803342</v>
      </c>
      <c r="M736" s="37">
        <f ca="1">(RANDBETWEEN($E$14,$F$14)*$M$9)+$M$10+$M$18</f>
        <v>1424944.0925515993</v>
      </c>
      <c r="N736" s="37">
        <f t="shared" ref="N736" ca="1" si="701">NPV($E$23+$F$23,H736:M736)+$H$4</f>
        <v>1228167.7294197315</v>
      </c>
    </row>
    <row r="737" spans="4:17" x14ac:dyDescent="0.25">
      <c r="D737" s="33"/>
      <c r="E737" s="33">
        <v>707</v>
      </c>
      <c r="F737" s="37"/>
      <c r="G737" s="37"/>
      <c r="H737" s="37">
        <f t="shared" si="505"/>
        <v>868800</v>
      </c>
      <c r="I737" s="37">
        <f ca="1">(RANDBETWEEN($E$14,$F$14)*$I$9)+$I$10+$I$18</f>
        <v>-189819.59895313275</v>
      </c>
      <c r="J737" s="37">
        <f ca="1">(RANDBETWEEN($E$14,$F$14)*$J$9)+$J$10+$J$18</f>
        <v>221933.48456383706</v>
      </c>
      <c r="K737" s="37">
        <f ca="1">(RANDBETWEEN($E$14,$F$14)*$K$9)+$K$10+$K$18</f>
        <v>24363.532183028292</v>
      </c>
      <c r="L737" s="37">
        <f ca="1">(RANDBETWEEN($E$14,$F$14)*$L$9)+$L$10+$L$18</f>
        <v>999716.39339203853</v>
      </c>
      <c r="M737" s="37">
        <f ca="1">(RANDBETWEEN($E$14,$F$14)*$M$9)+$M$10+$M$18</f>
        <v>1043245.7659826493</v>
      </c>
      <c r="N737" s="37">
        <f t="shared" ref="N737" ca="1" si="702">NPV($E$23+$F$23,H737:M737)+$H$4</f>
        <v>1369187.0324723539</v>
      </c>
    </row>
    <row r="738" spans="4:17" x14ac:dyDescent="0.25">
      <c r="D738" s="33"/>
      <c r="E738" s="33">
        <v>708</v>
      </c>
      <c r="F738" s="37"/>
      <c r="G738" s="37"/>
      <c r="H738" s="37">
        <f t="shared" si="505"/>
        <v>868800</v>
      </c>
      <c r="I738" s="37">
        <f ca="1">(RANDBETWEEN($E$14,$F$14)*$I$9)+$I$10+$I$18</f>
        <v>-189819.59895313275</v>
      </c>
      <c r="J738" s="37">
        <f ca="1">(RANDBETWEEN($E$14,$F$14)*$J$9)+$J$10+$J$18</f>
        <v>-9238.8910066427197</v>
      </c>
      <c r="K738" s="37">
        <f ca="1">(RANDBETWEEN($E$14,$F$14)*$K$9)+$K$10+$K$18</f>
        <v>260393.25392346107</v>
      </c>
      <c r="L738" s="37">
        <f ca="1">(RANDBETWEEN($E$14,$F$14)*$L$9)+$L$10+$L$18</f>
        <v>999716.39339203853</v>
      </c>
      <c r="M738" s="37">
        <f ca="1">(RANDBETWEEN($E$14,$F$14)*$M$9)+$M$10+$M$18</f>
        <v>1043245.7659826493</v>
      </c>
      <c r="N738" s="37">
        <f t="shared" ref="N738" ca="1" si="703">NPV($E$23+$F$23,H738:M738)+$H$4</f>
        <v>1363673.8789130282</v>
      </c>
    </row>
    <row r="739" spans="4:17" x14ac:dyDescent="0.25">
      <c r="D739" s="33"/>
      <c r="E739" s="33">
        <v>709</v>
      </c>
      <c r="F739" s="37"/>
      <c r="G739" s="37"/>
      <c r="H739" s="37">
        <f t="shared" si="505"/>
        <v>868800</v>
      </c>
      <c r="I739" s="37">
        <f ca="1">(RANDBETWEEN($E$14,$F$14)*$I$9)+$I$10+$I$18</f>
        <v>-189819.59895313275</v>
      </c>
      <c r="J739" s="37">
        <f ca="1">(RANDBETWEEN($E$14,$F$14)*$J$9)+$J$10+$J$18</f>
        <v>221933.48456383706</v>
      </c>
      <c r="K739" s="37">
        <f ca="1">(RANDBETWEEN($E$14,$F$14)*$K$9)+$K$10+$K$18</f>
        <v>24363.532183028292</v>
      </c>
      <c r="L739" s="37">
        <f ca="1">(RANDBETWEEN($E$14,$F$14)*$L$9)+$L$10+$L$18</f>
        <v>671221.40421803342</v>
      </c>
      <c r="M739" s="37">
        <f ca="1">(RANDBETWEEN($E$14,$F$14)*$M$9)+$M$10+$M$18</f>
        <v>1424944.0925515993</v>
      </c>
      <c r="N739" s="37">
        <f t="shared" ref="N739" ca="1" si="704">NPV($E$23+$F$23,H739:M739)+$H$4</f>
        <v>1396631.7810569336</v>
      </c>
    </row>
    <row r="740" spans="4:17" x14ac:dyDescent="0.25">
      <c r="D740" s="33"/>
      <c r="E740" s="33">
        <v>710</v>
      </c>
      <c r="F740" s="37"/>
      <c r="G740" s="37"/>
      <c r="H740" s="37">
        <f t="shared" si="505"/>
        <v>868800</v>
      </c>
      <c r="I740" s="37">
        <f ca="1">(RANDBETWEEN($E$14,$F$14)*$I$9)+$I$10+$I$18</f>
        <v>-189819.59895313275</v>
      </c>
      <c r="J740" s="37">
        <f ca="1">(RANDBETWEEN($E$14,$F$14)*$J$9)+$J$10+$J$18</f>
        <v>-9238.8910066427197</v>
      </c>
      <c r="K740" s="37">
        <f ca="1">(RANDBETWEEN($E$14,$F$14)*$K$9)+$K$10+$K$18</f>
        <v>260393.25392346107</v>
      </c>
      <c r="L740" s="37">
        <f ca="1">(RANDBETWEEN($E$14,$F$14)*$L$9)+$L$10+$L$18</f>
        <v>671221.40421803342</v>
      </c>
      <c r="M740" s="37">
        <f ca="1">(RANDBETWEEN($E$14,$F$14)*$M$9)+$M$10+$M$18</f>
        <v>1043245.7659826493</v>
      </c>
      <c r="N740" s="37">
        <f t="shared" ref="N740" ca="1" si="705">NPV($E$23+$F$23,H740:M740)+$H$4</f>
        <v>1106289.4593414213</v>
      </c>
    </row>
    <row r="741" spans="4:17" x14ac:dyDescent="0.25">
      <c r="D741" s="33"/>
      <c r="E741" s="33">
        <v>711</v>
      </c>
      <c r="F741" s="37"/>
      <c r="G741" s="37"/>
      <c r="H741" s="37">
        <f t="shared" si="505"/>
        <v>868800</v>
      </c>
      <c r="I741" s="37">
        <f ca="1">(RANDBETWEEN($E$14,$F$14)*$I$9)+$I$10+$I$18</f>
        <v>-369472.96408399101</v>
      </c>
      <c r="J741" s="37">
        <f ca="1">(RANDBETWEEN($E$14,$F$14)*$J$9)+$J$10+$J$18</f>
        <v>-9238.8910066427197</v>
      </c>
      <c r="K741" s="37">
        <f ca="1">(RANDBETWEEN($E$14,$F$14)*$K$9)+$K$10+$K$18</f>
        <v>24363.532183028292</v>
      </c>
      <c r="L741" s="37">
        <f ca="1">(RANDBETWEEN($E$14,$F$14)*$L$9)+$L$10+$L$18</f>
        <v>671221.40421803342</v>
      </c>
      <c r="M741" s="37">
        <f ca="1">(RANDBETWEEN($E$14,$F$14)*$M$9)+$M$10+$M$18</f>
        <v>1424944.0925515993</v>
      </c>
      <c r="N741" s="37">
        <f t="shared" ref="N741" ca="1" si="706">NPV($E$23+$F$23,H741:M741)+$H$4</f>
        <v>1033985.4932194382</v>
      </c>
    </row>
    <row r="742" spans="4:17" x14ac:dyDescent="0.25">
      <c r="D742" s="33"/>
      <c r="E742" s="33">
        <v>712</v>
      </c>
      <c r="F742" s="37"/>
      <c r="G742" s="37"/>
      <c r="H742" s="37">
        <f t="shared" si="505"/>
        <v>868800</v>
      </c>
      <c r="I742" s="37">
        <f ca="1">(RANDBETWEEN($E$14,$F$14)*$I$9)+$I$10+$I$18</f>
        <v>-369472.96408399101</v>
      </c>
      <c r="J742" s="37">
        <f ca="1">(RANDBETWEEN($E$14,$F$14)*$J$9)+$J$10+$J$18</f>
        <v>-9238.8910066427197</v>
      </c>
      <c r="K742" s="37">
        <f ca="1">(RANDBETWEEN($E$14,$F$14)*$K$9)+$K$10+$K$18</f>
        <v>260393.25392346107</v>
      </c>
      <c r="L742" s="37">
        <f ca="1">(RANDBETWEEN($E$14,$F$14)*$L$9)+$L$10+$L$18</f>
        <v>671221.40421803342</v>
      </c>
      <c r="M742" s="37">
        <f ca="1">(RANDBETWEEN($E$14,$F$14)*$M$9)+$M$10+$M$18</f>
        <v>1424944.0925515993</v>
      </c>
      <c r="N742" s="37">
        <f t="shared" ref="N742" ca="1" si="707">NPV($E$23+$F$23,H742:M742)+$H$4</f>
        <v>1228167.7294197315</v>
      </c>
    </row>
    <row r="743" spans="4:17" x14ac:dyDescent="0.25">
      <c r="D743" s="33"/>
      <c r="E743" s="33">
        <v>713</v>
      </c>
      <c r="F743" s="37"/>
      <c r="G743" s="37"/>
      <c r="H743" s="37">
        <f t="shared" si="505"/>
        <v>868800</v>
      </c>
      <c r="I743" s="37">
        <f ca="1">(RANDBETWEEN($E$14,$F$14)*$I$9)+$I$10+$I$18</f>
        <v>-189819.59895313275</v>
      </c>
      <c r="J743" s="37">
        <f ca="1">(RANDBETWEEN($E$14,$F$14)*$J$9)+$J$10+$J$18</f>
        <v>221933.48456383706</v>
      </c>
      <c r="K743" s="37">
        <f ca="1">(RANDBETWEEN($E$14,$F$14)*$K$9)+$K$10+$K$18</f>
        <v>24363.532183028292</v>
      </c>
      <c r="L743" s="37">
        <f ca="1">(RANDBETWEEN($E$14,$F$14)*$L$9)+$L$10+$L$18</f>
        <v>999716.39339203853</v>
      </c>
      <c r="M743" s="37">
        <f ca="1">(RANDBETWEEN($E$14,$F$14)*$M$9)+$M$10+$M$18</f>
        <v>1424944.0925515993</v>
      </c>
      <c r="N743" s="37">
        <f t="shared" ref="N743" ca="1" si="708">NPV($E$23+$F$23,H743:M743)+$H$4</f>
        <v>1654016.20062854</v>
      </c>
    </row>
    <row r="744" spans="4:17" x14ac:dyDescent="0.25">
      <c r="D744" s="33"/>
      <c r="E744" s="33">
        <v>714</v>
      </c>
      <c r="F744" s="37"/>
      <c r="G744" s="37"/>
      <c r="H744" s="37">
        <f t="shared" si="505"/>
        <v>868800</v>
      </c>
      <c r="I744" s="37">
        <f ca="1">(RANDBETWEEN($E$14,$F$14)*$I$9)+$I$10+$I$18</f>
        <v>-189819.59895313275</v>
      </c>
      <c r="J744" s="37">
        <f ca="1">(RANDBETWEEN($E$14,$F$14)*$J$9)+$J$10+$J$18</f>
        <v>-9238.8910066427197</v>
      </c>
      <c r="K744" s="37">
        <f ca="1">(RANDBETWEEN($E$14,$F$14)*$K$9)+$K$10+$K$18</f>
        <v>24363.532183028292</v>
      </c>
      <c r="L744" s="37">
        <f ca="1">(RANDBETWEEN($E$14,$F$14)*$L$9)+$L$10+$L$18</f>
        <v>671221.40421803342</v>
      </c>
      <c r="M744" s="37">
        <f ca="1">(RANDBETWEEN($E$14,$F$14)*$M$9)+$M$10+$M$18</f>
        <v>1043245.7659826493</v>
      </c>
      <c r="N744" s="37">
        <f t="shared" ref="N744" ca="1" si="709">NPV($E$23+$F$23,H744:M744)+$H$4</f>
        <v>912107.22314112843</v>
      </c>
    </row>
    <row r="745" spans="4:17" x14ac:dyDescent="0.25">
      <c r="D745" s="33"/>
      <c r="E745" s="33">
        <v>715</v>
      </c>
      <c r="F745" s="37"/>
      <c r="G745" s="37"/>
      <c r="H745" s="37">
        <f t="shared" si="505"/>
        <v>868800</v>
      </c>
      <c r="I745" s="37">
        <f ca="1">(RANDBETWEEN($E$14,$F$14)*$I$9)+$I$10+$I$18</f>
        <v>-189819.59895313275</v>
      </c>
      <c r="J745" s="37">
        <f ca="1">(RANDBETWEEN($E$14,$F$14)*$J$9)+$J$10+$J$18</f>
        <v>-9238.8910066427197</v>
      </c>
      <c r="K745" s="37">
        <f ca="1">(RANDBETWEEN($E$14,$F$14)*$K$9)+$K$10+$K$18</f>
        <v>24363.532183028292</v>
      </c>
      <c r="L745" s="37">
        <f ca="1">(RANDBETWEEN($E$14,$F$14)*$L$9)+$L$10+$L$18</f>
        <v>999716.39339203853</v>
      </c>
      <c r="M745" s="37">
        <f ca="1">(RANDBETWEEN($E$14,$F$14)*$M$9)+$M$10+$M$18</f>
        <v>1424944.0925515993</v>
      </c>
      <c r="N745" s="37">
        <f t="shared" ref="N745" ca="1" si="710">NPV($E$23+$F$23,H745:M745)+$H$4</f>
        <v>1454320.8108689203</v>
      </c>
    </row>
    <row r="746" spans="4:17" x14ac:dyDescent="0.25">
      <c r="D746" s="33"/>
      <c r="E746" s="33">
        <v>716</v>
      </c>
      <c r="F746" s="37"/>
      <c r="G746" s="37"/>
      <c r="H746" s="37">
        <f t="shared" si="505"/>
        <v>868800</v>
      </c>
      <c r="I746" s="37">
        <f ca="1">(RANDBETWEEN($E$14,$F$14)*$I$9)+$I$10+$I$18</f>
        <v>-369472.96408399101</v>
      </c>
      <c r="J746" s="37">
        <f ca="1">(RANDBETWEEN($E$14,$F$14)*$J$9)+$J$10+$J$18</f>
        <v>221933.48456383706</v>
      </c>
      <c r="K746" s="37">
        <f ca="1">(RANDBETWEEN($E$14,$F$14)*$K$9)+$K$10+$K$18</f>
        <v>24363.532183028292</v>
      </c>
      <c r="L746" s="37">
        <f ca="1">(RANDBETWEEN($E$14,$F$14)*$L$9)+$L$10+$L$18</f>
        <v>671221.40421803342</v>
      </c>
      <c r="M746" s="37">
        <f ca="1">(RANDBETWEEN($E$14,$F$14)*$M$9)+$M$10+$M$18</f>
        <v>1424944.0925515993</v>
      </c>
      <c r="N746" s="37">
        <f t="shared" ref="N746" ca="1" si="711">NPV($E$23+$F$23,H746:M746)+$H$4</f>
        <v>1233680.8829790577</v>
      </c>
      <c r="Q746" s="37"/>
    </row>
    <row r="747" spans="4:17" x14ac:dyDescent="0.25">
      <c r="D747" s="33"/>
      <c r="E747" s="33">
        <v>717</v>
      </c>
      <c r="F747" s="37"/>
      <c r="G747" s="37"/>
      <c r="H747" s="37">
        <f t="shared" si="505"/>
        <v>868800</v>
      </c>
      <c r="I747" s="37">
        <f ca="1">(RANDBETWEEN($E$14,$F$14)*$I$9)+$I$10+$I$18</f>
        <v>-369472.96408399101</v>
      </c>
      <c r="J747" s="37">
        <f ca="1">(RANDBETWEEN($E$14,$F$14)*$J$9)+$J$10+$J$18</f>
        <v>221933.48456383706</v>
      </c>
      <c r="K747" s="37">
        <f ca="1">(RANDBETWEEN($E$14,$F$14)*$K$9)+$K$10+$K$18</f>
        <v>24363.532183028292</v>
      </c>
      <c r="L747" s="37">
        <f ca="1">(RANDBETWEEN($E$14,$F$14)*$L$9)+$L$10+$L$18</f>
        <v>671221.40421803342</v>
      </c>
      <c r="M747" s="37">
        <f ca="1">(RANDBETWEEN($E$14,$F$14)*$M$9)+$M$10+$M$18</f>
        <v>1424944.0925515993</v>
      </c>
      <c r="N747" s="37">
        <f t="shared" ref="N747" ca="1" si="712">NPV($E$23+$F$23,H747:M747)+$H$4</f>
        <v>1233680.8829790577</v>
      </c>
    </row>
    <row r="748" spans="4:17" x14ac:dyDescent="0.25">
      <c r="D748" s="33"/>
      <c r="E748" s="33">
        <v>718</v>
      </c>
      <c r="F748" s="37"/>
      <c r="G748" s="37"/>
      <c r="H748" s="37">
        <f t="shared" si="505"/>
        <v>868800</v>
      </c>
      <c r="I748" s="37">
        <f ca="1">(RANDBETWEEN($E$14,$F$14)*$I$9)+$I$10+$I$18</f>
        <v>-189819.59895313275</v>
      </c>
      <c r="J748" s="37">
        <f ca="1">(RANDBETWEEN($E$14,$F$14)*$J$9)+$J$10+$J$18</f>
        <v>221933.48456383706</v>
      </c>
      <c r="K748" s="37">
        <f ca="1">(RANDBETWEEN($E$14,$F$14)*$K$9)+$K$10+$K$18</f>
        <v>24363.532183028292</v>
      </c>
      <c r="L748" s="37">
        <f ca="1">(RANDBETWEEN($E$14,$F$14)*$L$9)+$L$10+$L$18</f>
        <v>671221.40421803342</v>
      </c>
      <c r="M748" s="37">
        <f ca="1">(RANDBETWEEN($E$14,$F$14)*$M$9)+$M$10+$M$18</f>
        <v>1043245.7659826493</v>
      </c>
      <c r="N748" s="37">
        <f t="shared" ref="N748" ca="1" si="713">NPV($E$23+$F$23,H748:M748)+$H$4</f>
        <v>1111802.6129007479</v>
      </c>
    </row>
    <row r="749" spans="4:17" x14ac:dyDescent="0.25">
      <c r="D749" s="33"/>
      <c r="E749" s="33">
        <v>719</v>
      </c>
      <c r="F749" s="37"/>
      <c r="G749" s="37"/>
      <c r="H749" s="37">
        <f t="shared" si="505"/>
        <v>868800</v>
      </c>
      <c r="I749" s="37">
        <f ca="1">(RANDBETWEEN($E$14,$F$14)*$I$9)+$I$10+$I$18</f>
        <v>-189819.59895313275</v>
      </c>
      <c r="J749" s="37">
        <f ca="1">(RANDBETWEEN($E$14,$F$14)*$J$9)+$J$10+$J$18</f>
        <v>221933.48456383706</v>
      </c>
      <c r="K749" s="37">
        <f ca="1">(RANDBETWEEN($E$14,$F$14)*$K$9)+$K$10+$K$18</f>
        <v>24363.532183028292</v>
      </c>
      <c r="L749" s="37">
        <f ca="1">(RANDBETWEEN($E$14,$F$14)*$L$9)+$L$10+$L$18</f>
        <v>671221.40421803342</v>
      </c>
      <c r="M749" s="37">
        <f ca="1">(RANDBETWEEN($E$14,$F$14)*$M$9)+$M$10+$M$18</f>
        <v>1424944.0925515993</v>
      </c>
      <c r="N749" s="37">
        <f t="shared" ref="N749" ca="1" si="714">NPV($E$23+$F$23,H749:M749)+$H$4</f>
        <v>1396631.7810569336</v>
      </c>
    </row>
    <row r="750" spans="4:17" x14ac:dyDescent="0.25">
      <c r="D750" s="33"/>
      <c r="E750" s="33">
        <v>720</v>
      </c>
      <c r="F750" s="37"/>
      <c r="G750" s="37"/>
      <c r="H750" s="37">
        <f t="shared" si="505"/>
        <v>868800</v>
      </c>
      <c r="I750" s="37">
        <f ca="1">(RANDBETWEEN($E$14,$F$14)*$I$9)+$I$10+$I$18</f>
        <v>-189819.59895313275</v>
      </c>
      <c r="J750" s="37">
        <f ca="1">(RANDBETWEEN($E$14,$F$14)*$J$9)+$J$10+$J$18</f>
        <v>221933.48456383706</v>
      </c>
      <c r="K750" s="37">
        <f ca="1">(RANDBETWEEN($E$14,$F$14)*$K$9)+$K$10+$K$18</f>
        <v>24363.532183028292</v>
      </c>
      <c r="L750" s="37">
        <f ca="1">(RANDBETWEEN($E$14,$F$14)*$L$9)+$L$10+$L$18</f>
        <v>999716.39339203853</v>
      </c>
      <c r="M750" s="37">
        <f ca="1">(RANDBETWEEN($E$14,$F$14)*$M$9)+$M$10+$M$18</f>
        <v>1424944.0925515993</v>
      </c>
      <c r="N750" s="37">
        <f t="shared" ref="N750" ca="1" si="715">NPV($E$23+$F$23,H750:M750)+$H$4</f>
        <v>1654016.20062854</v>
      </c>
    </row>
    <row r="751" spans="4:17" x14ac:dyDescent="0.25">
      <c r="D751" s="33"/>
      <c r="E751" s="33">
        <v>721</v>
      </c>
      <c r="F751" s="37"/>
      <c r="G751" s="37"/>
      <c r="H751" s="37">
        <f t="shared" si="505"/>
        <v>868800</v>
      </c>
      <c r="I751" s="37">
        <f ca="1">(RANDBETWEEN($E$14,$F$14)*$I$9)+$I$10+$I$18</f>
        <v>-369472.96408399101</v>
      </c>
      <c r="J751" s="37">
        <f ca="1">(RANDBETWEEN($E$14,$F$14)*$J$9)+$J$10+$J$18</f>
        <v>-9238.8910066427197</v>
      </c>
      <c r="K751" s="37">
        <f ca="1">(RANDBETWEEN($E$14,$F$14)*$K$9)+$K$10+$K$18</f>
        <v>260393.25392346107</v>
      </c>
      <c r="L751" s="37">
        <f ca="1">(RANDBETWEEN($E$14,$F$14)*$L$9)+$L$10+$L$18</f>
        <v>999716.39339203853</v>
      </c>
      <c r="M751" s="37">
        <f ca="1">(RANDBETWEEN($E$14,$F$14)*$M$9)+$M$10+$M$18</f>
        <v>1043245.7659826493</v>
      </c>
      <c r="N751" s="37">
        <f t="shared" ref="N751" ca="1" si="716">NPV($E$23+$F$23,H751:M751)+$H$4</f>
        <v>1200722.9808351514</v>
      </c>
    </row>
    <row r="752" spans="4:17" x14ac:dyDescent="0.25">
      <c r="D752" s="33"/>
      <c r="E752" s="33">
        <v>722</v>
      </c>
      <c r="F752" s="37"/>
      <c r="G752" s="37"/>
      <c r="H752" s="37">
        <f t="shared" si="505"/>
        <v>868800</v>
      </c>
      <c r="I752" s="37">
        <f ca="1">(RANDBETWEEN($E$14,$F$14)*$I$9)+$I$10+$I$18</f>
        <v>-189819.59895313275</v>
      </c>
      <c r="J752" s="37">
        <f ca="1">(RANDBETWEEN($E$14,$F$14)*$J$9)+$J$10+$J$18</f>
        <v>221933.48456383706</v>
      </c>
      <c r="K752" s="37">
        <f ca="1">(RANDBETWEEN($E$14,$F$14)*$K$9)+$K$10+$K$18</f>
        <v>260393.25392346107</v>
      </c>
      <c r="L752" s="37">
        <f ca="1">(RANDBETWEEN($E$14,$F$14)*$L$9)+$L$10+$L$18</f>
        <v>999716.39339203853</v>
      </c>
      <c r="M752" s="37">
        <f ca="1">(RANDBETWEEN($E$14,$F$14)*$M$9)+$M$10+$M$18</f>
        <v>1424944.0925515993</v>
      </c>
      <c r="N752" s="37">
        <f t="shared" ref="N752" ca="1" si="717">NPV($E$23+$F$23,H752:M752)+$H$4</f>
        <v>1848198.4368288331</v>
      </c>
    </row>
    <row r="753" spans="4:17" x14ac:dyDescent="0.25">
      <c r="D753" s="33"/>
      <c r="E753" s="33">
        <v>723</v>
      </c>
      <c r="F753" s="37"/>
      <c r="G753" s="37"/>
      <c r="H753" s="37">
        <f t="shared" si="505"/>
        <v>868800</v>
      </c>
      <c r="I753" s="37">
        <f ca="1">(RANDBETWEEN($E$14,$F$14)*$I$9)+$I$10+$I$18</f>
        <v>-189819.59895313275</v>
      </c>
      <c r="J753" s="37">
        <f ca="1">(RANDBETWEEN($E$14,$F$14)*$J$9)+$J$10+$J$18</f>
        <v>-9238.8910066427197</v>
      </c>
      <c r="K753" s="37">
        <f ca="1">(RANDBETWEEN($E$14,$F$14)*$K$9)+$K$10+$K$18</f>
        <v>24363.532183028292</v>
      </c>
      <c r="L753" s="37">
        <f ca="1">(RANDBETWEEN($E$14,$F$14)*$L$9)+$L$10+$L$18</f>
        <v>671221.40421803342</v>
      </c>
      <c r="M753" s="37">
        <f ca="1">(RANDBETWEEN($E$14,$F$14)*$M$9)+$M$10+$M$18</f>
        <v>1043245.7659826493</v>
      </c>
      <c r="N753" s="37">
        <f t="shared" ref="N753" ca="1" si="718">NPV($E$23+$F$23,H753:M753)+$H$4</f>
        <v>912107.22314112843</v>
      </c>
    </row>
    <row r="754" spans="4:17" x14ac:dyDescent="0.25">
      <c r="D754" s="33"/>
      <c r="E754" s="33">
        <v>724</v>
      </c>
      <c r="F754" s="37"/>
      <c r="G754" s="37"/>
      <c r="H754" s="37">
        <f t="shared" si="505"/>
        <v>868800</v>
      </c>
      <c r="I754" s="37">
        <f ca="1">(RANDBETWEEN($E$14,$F$14)*$I$9)+$I$10+$I$18</f>
        <v>-189819.59895313275</v>
      </c>
      <c r="J754" s="37">
        <f ca="1">(RANDBETWEEN($E$14,$F$14)*$J$9)+$J$10+$J$18</f>
        <v>-9238.8910066427197</v>
      </c>
      <c r="K754" s="37">
        <f ca="1">(RANDBETWEEN($E$14,$F$14)*$K$9)+$K$10+$K$18</f>
        <v>24363.532183028292</v>
      </c>
      <c r="L754" s="37">
        <f ca="1">(RANDBETWEEN($E$14,$F$14)*$L$9)+$L$10+$L$18</f>
        <v>671221.40421803342</v>
      </c>
      <c r="M754" s="37">
        <f ca="1">(RANDBETWEEN($E$14,$F$14)*$M$9)+$M$10+$M$18</f>
        <v>1043245.7659826493</v>
      </c>
      <c r="N754" s="37">
        <f t="shared" ref="N754" ca="1" si="719">NPV($E$23+$F$23,H754:M754)+$H$4</f>
        <v>912107.22314112843</v>
      </c>
    </row>
    <row r="755" spans="4:17" x14ac:dyDescent="0.25">
      <c r="D755" s="33"/>
      <c r="E755" s="33">
        <v>725</v>
      </c>
      <c r="F755" s="37"/>
      <c r="G755" s="37"/>
      <c r="H755" s="37">
        <f t="shared" si="505"/>
        <v>868800</v>
      </c>
      <c r="I755" s="37">
        <f ca="1">(RANDBETWEEN($E$14,$F$14)*$I$9)+$I$10+$I$18</f>
        <v>-369472.96408399101</v>
      </c>
      <c r="J755" s="37">
        <f ca="1">(RANDBETWEEN($E$14,$F$14)*$J$9)+$J$10+$J$18</f>
        <v>-9238.8910066427197</v>
      </c>
      <c r="K755" s="37">
        <f ca="1">(RANDBETWEEN($E$14,$F$14)*$K$9)+$K$10+$K$18</f>
        <v>24363.532183028292</v>
      </c>
      <c r="L755" s="37">
        <f ca="1">(RANDBETWEEN($E$14,$F$14)*$L$9)+$L$10+$L$18</f>
        <v>999716.39339203853</v>
      </c>
      <c r="M755" s="37">
        <f ca="1">(RANDBETWEEN($E$14,$F$14)*$M$9)+$M$10+$M$18</f>
        <v>1424944.0925515993</v>
      </c>
      <c r="N755" s="37">
        <f t="shared" ref="N755" ca="1" si="720">NPV($E$23+$F$23,H755:M755)+$H$4</f>
        <v>1291369.9127910445</v>
      </c>
    </row>
    <row r="756" spans="4:17" x14ac:dyDescent="0.25">
      <c r="D756" s="33"/>
      <c r="E756" s="33">
        <v>726</v>
      </c>
      <c r="F756" s="37"/>
      <c r="G756" s="37"/>
      <c r="H756" s="37">
        <f t="shared" si="505"/>
        <v>868800</v>
      </c>
      <c r="I756" s="37">
        <f ca="1">(RANDBETWEEN($E$14,$F$14)*$I$9)+$I$10+$I$18</f>
        <v>-189819.59895313275</v>
      </c>
      <c r="J756" s="37">
        <f ca="1">(RANDBETWEEN($E$14,$F$14)*$J$9)+$J$10+$J$18</f>
        <v>221933.48456383706</v>
      </c>
      <c r="K756" s="37">
        <f ca="1">(RANDBETWEEN($E$14,$F$14)*$K$9)+$K$10+$K$18</f>
        <v>24363.532183028292</v>
      </c>
      <c r="L756" s="37">
        <f ca="1">(RANDBETWEEN($E$14,$F$14)*$L$9)+$L$10+$L$18</f>
        <v>999716.39339203853</v>
      </c>
      <c r="M756" s="37">
        <f ca="1">(RANDBETWEEN($E$14,$F$14)*$M$9)+$M$10+$M$18</f>
        <v>1424944.0925515993</v>
      </c>
      <c r="N756" s="37">
        <f t="shared" ref="N756" ca="1" si="721">NPV($E$23+$F$23,H756:M756)+$H$4</f>
        <v>1654016.20062854</v>
      </c>
    </row>
    <row r="757" spans="4:17" x14ac:dyDescent="0.25">
      <c r="D757" s="33"/>
      <c r="E757" s="33">
        <v>727</v>
      </c>
      <c r="F757" s="37"/>
      <c r="G757" s="37"/>
      <c r="H757" s="37">
        <f t="shared" si="505"/>
        <v>868800</v>
      </c>
      <c r="I757" s="37">
        <f ca="1">(RANDBETWEEN($E$14,$F$14)*$I$9)+$I$10+$I$18</f>
        <v>-189819.59895313275</v>
      </c>
      <c r="J757" s="37">
        <f ca="1">(RANDBETWEEN($E$14,$F$14)*$J$9)+$J$10+$J$18</f>
        <v>221933.48456383706</v>
      </c>
      <c r="K757" s="37">
        <f ca="1">(RANDBETWEEN($E$14,$F$14)*$K$9)+$K$10+$K$18</f>
        <v>260393.25392346107</v>
      </c>
      <c r="L757" s="37">
        <f ca="1">(RANDBETWEEN($E$14,$F$14)*$L$9)+$L$10+$L$18</f>
        <v>999716.39339203853</v>
      </c>
      <c r="M757" s="37">
        <f ca="1">(RANDBETWEEN($E$14,$F$14)*$M$9)+$M$10+$M$18</f>
        <v>1424944.0925515993</v>
      </c>
      <c r="N757" s="37">
        <f t="shared" ref="N757" ca="1" si="722">NPV($E$23+$F$23,H757:M757)+$H$4</f>
        <v>1848198.4368288331</v>
      </c>
    </row>
    <row r="758" spans="4:17" x14ac:dyDescent="0.25">
      <c r="D758" s="33"/>
      <c r="E758" s="33">
        <v>728</v>
      </c>
      <c r="F758" s="37"/>
      <c r="G758" s="37"/>
      <c r="H758" s="37">
        <f t="shared" si="505"/>
        <v>868800</v>
      </c>
      <c r="I758" s="37">
        <f ca="1">(RANDBETWEEN($E$14,$F$14)*$I$9)+$I$10+$I$18</f>
        <v>-369472.96408399101</v>
      </c>
      <c r="J758" s="37">
        <f ca="1">(RANDBETWEEN($E$14,$F$14)*$J$9)+$J$10+$J$18</f>
        <v>221933.48456383706</v>
      </c>
      <c r="K758" s="37">
        <f ca="1">(RANDBETWEEN($E$14,$F$14)*$K$9)+$K$10+$K$18</f>
        <v>24363.532183028292</v>
      </c>
      <c r="L758" s="37">
        <f ca="1">(RANDBETWEEN($E$14,$F$14)*$L$9)+$L$10+$L$18</f>
        <v>671221.40421803342</v>
      </c>
      <c r="M758" s="37">
        <f ca="1">(RANDBETWEEN($E$14,$F$14)*$M$9)+$M$10+$M$18</f>
        <v>1043245.7659826493</v>
      </c>
      <c r="N758" s="37">
        <f t="shared" ref="N758" ca="1" si="723">NPV($E$23+$F$23,H758:M758)+$H$4</f>
        <v>948851.71482287208</v>
      </c>
    </row>
    <row r="759" spans="4:17" x14ac:dyDescent="0.25">
      <c r="D759" s="33"/>
      <c r="E759" s="33">
        <v>729</v>
      </c>
      <c r="F759" s="37"/>
      <c r="G759" s="37"/>
      <c r="H759" s="37">
        <f t="shared" si="505"/>
        <v>868800</v>
      </c>
      <c r="I759" s="37">
        <f ca="1">(RANDBETWEEN($E$14,$F$14)*$I$9)+$I$10+$I$18</f>
        <v>-189819.59895313275</v>
      </c>
      <c r="J759" s="37">
        <f ca="1">(RANDBETWEEN($E$14,$F$14)*$J$9)+$J$10+$J$18</f>
        <v>221933.48456383706</v>
      </c>
      <c r="K759" s="37">
        <f ca="1">(RANDBETWEEN($E$14,$F$14)*$K$9)+$K$10+$K$18</f>
        <v>260393.25392346107</v>
      </c>
      <c r="L759" s="37">
        <f ca="1">(RANDBETWEEN($E$14,$F$14)*$L$9)+$L$10+$L$18</f>
        <v>999716.39339203853</v>
      </c>
      <c r="M759" s="37">
        <f ca="1">(RANDBETWEEN($E$14,$F$14)*$M$9)+$M$10+$M$18</f>
        <v>1424944.0925515993</v>
      </c>
      <c r="N759" s="37">
        <f t="shared" ref="N759" ca="1" si="724">NPV($E$23+$F$23,H759:M759)+$H$4</f>
        <v>1848198.4368288331</v>
      </c>
      <c r="Q759" s="37"/>
    </row>
    <row r="760" spans="4:17" x14ac:dyDescent="0.25">
      <c r="D760" s="33"/>
      <c r="E760" s="33">
        <v>730</v>
      </c>
      <c r="F760" s="37"/>
      <c r="G760" s="37"/>
      <c r="H760" s="37">
        <f t="shared" si="505"/>
        <v>868800</v>
      </c>
      <c r="I760" s="37">
        <f ca="1">(RANDBETWEEN($E$14,$F$14)*$I$9)+$I$10+$I$18</f>
        <v>-369472.96408399101</v>
      </c>
      <c r="J760" s="37">
        <f ca="1">(RANDBETWEEN($E$14,$F$14)*$J$9)+$J$10+$J$18</f>
        <v>221933.48456383706</v>
      </c>
      <c r="K760" s="37">
        <f ca="1">(RANDBETWEEN($E$14,$F$14)*$K$9)+$K$10+$K$18</f>
        <v>260393.25392346107</v>
      </c>
      <c r="L760" s="37">
        <f ca="1">(RANDBETWEEN($E$14,$F$14)*$L$9)+$L$10+$L$18</f>
        <v>671221.40421803342</v>
      </c>
      <c r="M760" s="37">
        <f ca="1">(RANDBETWEEN($E$14,$F$14)*$M$9)+$M$10+$M$18</f>
        <v>1424944.0925515993</v>
      </c>
      <c r="N760" s="37">
        <f t="shared" ref="N760" ca="1" si="725">NPV($E$23+$F$23,H760:M760)+$H$4</f>
        <v>1427863.1191793513</v>
      </c>
    </row>
    <row r="761" spans="4:17" x14ac:dyDescent="0.25">
      <c r="D761" s="33"/>
      <c r="E761" s="33">
        <v>731</v>
      </c>
      <c r="F761" s="37"/>
      <c r="G761" s="37"/>
      <c r="H761" s="37">
        <f t="shared" si="505"/>
        <v>868800</v>
      </c>
      <c r="I761" s="37">
        <f ca="1">(RANDBETWEEN($E$14,$F$14)*$I$9)+$I$10+$I$18</f>
        <v>-369472.96408399101</v>
      </c>
      <c r="J761" s="37">
        <f ca="1">(RANDBETWEEN($E$14,$F$14)*$J$9)+$J$10+$J$18</f>
        <v>-9238.8910066427197</v>
      </c>
      <c r="K761" s="37">
        <f ca="1">(RANDBETWEEN($E$14,$F$14)*$K$9)+$K$10+$K$18</f>
        <v>260393.25392346107</v>
      </c>
      <c r="L761" s="37">
        <f ca="1">(RANDBETWEEN($E$14,$F$14)*$L$9)+$L$10+$L$18</f>
        <v>671221.40421803342</v>
      </c>
      <c r="M761" s="37">
        <f ca="1">(RANDBETWEEN($E$14,$F$14)*$M$9)+$M$10+$M$18</f>
        <v>1424944.0925515993</v>
      </c>
      <c r="N761" s="37">
        <f t="shared" ref="N761" ca="1" si="726">NPV($E$23+$F$23,H761:M761)+$H$4</f>
        <v>1228167.7294197315</v>
      </c>
    </row>
    <row r="762" spans="4:17" x14ac:dyDescent="0.25">
      <c r="D762" s="33"/>
      <c r="E762" s="33">
        <v>732</v>
      </c>
      <c r="F762" s="37"/>
      <c r="G762" s="37"/>
      <c r="H762" s="37">
        <f t="shared" si="505"/>
        <v>868800</v>
      </c>
      <c r="I762" s="37">
        <f ca="1">(RANDBETWEEN($E$14,$F$14)*$I$9)+$I$10+$I$18</f>
        <v>-189819.59895313275</v>
      </c>
      <c r="J762" s="37">
        <f ca="1">(RANDBETWEEN($E$14,$F$14)*$J$9)+$J$10+$J$18</f>
        <v>-9238.8910066427197</v>
      </c>
      <c r="K762" s="37">
        <f ca="1">(RANDBETWEEN($E$14,$F$14)*$K$9)+$K$10+$K$18</f>
        <v>24363.532183028292</v>
      </c>
      <c r="L762" s="37">
        <f ca="1">(RANDBETWEEN($E$14,$F$14)*$L$9)+$L$10+$L$18</f>
        <v>671221.40421803342</v>
      </c>
      <c r="M762" s="37">
        <f ca="1">(RANDBETWEEN($E$14,$F$14)*$M$9)+$M$10+$M$18</f>
        <v>1424944.0925515993</v>
      </c>
      <c r="N762" s="37">
        <f t="shared" ref="N762" ca="1" si="727">NPV($E$23+$F$23,H762:M762)+$H$4</f>
        <v>1196936.3912973143</v>
      </c>
    </row>
    <row r="763" spans="4:17" x14ac:dyDescent="0.25">
      <c r="D763" s="33"/>
      <c r="E763" s="33">
        <v>733</v>
      </c>
      <c r="F763" s="37"/>
      <c r="G763" s="37"/>
      <c r="H763" s="37">
        <f t="shared" si="505"/>
        <v>868800</v>
      </c>
      <c r="I763" s="37">
        <f ca="1">(RANDBETWEEN($E$14,$F$14)*$I$9)+$I$10+$I$18</f>
        <v>-189819.59895313275</v>
      </c>
      <c r="J763" s="37">
        <f ca="1">(RANDBETWEEN($E$14,$F$14)*$J$9)+$J$10+$J$18</f>
        <v>-9238.8910066427197</v>
      </c>
      <c r="K763" s="37">
        <f ca="1">(RANDBETWEEN($E$14,$F$14)*$K$9)+$K$10+$K$18</f>
        <v>24363.532183028292</v>
      </c>
      <c r="L763" s="37">
        <f ca="1">(RANDBETWEEN($E$14,$F$14)*$L$9)+$L$10+$L$18</f>
        <v>999716.39339203853</v>
      </c>
      <c r="M763" s="37">
        <f ca="1">(RANDBETWEEN($E$14,$F$14)*$M$9)+$M$10+$M$18</f>
        <v>1424944.0925515993</v>
      </c>
      <c r="N763" s="37">
        <f t="shared" ref="N763" ca="1" si="728">NPV($E$23+$F$23,H763:M763)+$H$4</f>
        <v>1454320.8108689203</v>
      </c>
    </row>
    <row r="764" spans="4:17" x14ac:dyDescent="0.25">
      <c r="D764" s="33"/>
      <c r="E764" s="33">
        <v>734</v>
      </c>
      <c r="F764" s="37"/>
      <c r="G764" s="37"/>
      <c r="H764" s="37">
        <f t="shared" si="505"/>
        <v>868800</v>
      </c>
      <c r="I764" s="37">
        <f ca="1">(RANDBETWEEN($E$14,$F$14)*$I$9)+$I$10+$I$18</f>
        <v>-369472.96408399101</v>
      </c>
      <c r="J764" s="37">
        <f ca="1">(RANDBETWEEN($E$14,$F$14)*$J$9)+$J$10+$J$18</f>
        <v>-9238.8910066427197</v>
      </c>
      <c r="K764" s="37">
        <f ca="1">(RANDBETWEEN($E$14,$F$14)*$K$9)+$K$10+$K$18</f>
        <v>260393.25392346107</v>
      </c>
      <c r="L764" s="37">
        <f ca="1">(RANDBETWEEN($E$14,$F$14)*$L$9)+$L$10+$L$18</f>
        <v>671221.40421803342</v>
      </c>
      <c r="M764" s="37">
        <f ca="1">(RANDBETWEEN($E$14,$F$14)*$M$9)+$M$10+$M$18</f>
        <v>1043245.7659826493</v>
      </c>
      <c r="N764" s="37">
        <f t="shared" ref="N764" ca="1" si="729">NPV($E$23+$F$23,H764:M764)+$H$4</f>
        <v>943338.56126354542</v>
      </c>
    </row>
    <row r="765" spans="4:17" x14ac:dyDescent="0.25">
      <c r="D765" s="33"/>
      <c r="E765" s="33">
        <v>735</v>
      </c>
      <c r="F765" s="37"/>
      <c r="G765" s="37"/>
      <c r="H765" s="37">
        <f t="shared" si="505"/>
        <v>868800</v>
      </c>
      <c r="I765" s="37">
        <f ca="1">(RANDBETWEEN($E$14,$F$14)*$I$9)+$I$10+$I$18</f>
        <v>-189819.59895313275</v>
      </c>
      <c r="J765" s="37">
        <f ca="1">(RANDBETWEEN($E$14,$F$14)*$J$9)+$J$10+$J$18</f>
        <v>221933.48456383706</v>
      </c>
      <c r="K765" s="37">
        <f ca="1">(RANDBETWEEN($E$14,$F$14)*$K$9)+$K$10+$K$18</f>
        <v>260393.25392346107</v>
      </c>
      <c r="L765" s="37">
        <f ca="1">(RANDBETWEEN($E$14,$F$14)*$L$9)+$L$10+$L$18</f>
        <v>999716.39339203853</v>
      </c>
      <c r="M765" s="37">
        <f ca="1">(RANDBETWEEN($E$14,$F$14)*$M$9)+$M$10+$M$18</f>
        <v>1043245.7659826493</v>
      </c>
      <c r="N765" s="37">
        <f t="shared" ref="N765" ca="1" si="730">NPV($E$23+$F$23,H765:M765)+$H$4</f>
        <v>1563369.2686726474</v>
      </c>
    </row>
    <row r="766" spans="4:17" x14ac:dyDescent="0.25">
      <c r="D766" s="33"/>
      <c r="E766" s="33">
        <v>736</v>
      </c>
      <c r="F766" s="37"/>
      <c r="G766" s="37"/>
      <c r="H766" s="37">
        <f t="shared" si="505"/>
        <v>868800</v>
      </c>
      <c r="I766" s="37">
        <f ca="1">(RANDBETWEEN($E$14,$F$14)*$I$9)+$I$10+$I$18</f>
        <v>-369472.96408399101</v>
      </c>
      <c r="J766" s="37">
        <f ca="1">(RANDBETWEEN($E$14,$F$14)*$J$9)+$J$10+$J$18</f>
        <v>221933.48456383706</v>
      </c>
      <c r="K766" s="37">
        <f ca="1">(RANDBETWEEN($E$14,$F$14)*$K$9)+$K$10+$K$18</f>
        <v>260393.25392346107</v>
      </c>
      <c r="L766" s="37">
        <f ca="1">(RANDBETWEEN($E$14,$F$14)*$L$9)+$L$10+$L$18</f>
        <v>671221.40421803342</v>
      </c>
      <c r="M766" s="37">
        <f ca="1">(RANDBETWEEN($E$14,$F$14)*$M$9)+$M$10+$M$18</f>
        <v>1424944.0925515993</v>
      </c>
      <c r="N766" s="37">
        <f t="shared" ref="N766" ca="1" si="731">NPV($E$23+$F$23,H766:M766)+$H$4</f>
        <v>1427863.1191793513</v>
      </c>
    </row>
    <row r="767" spans="4:17" x14ac:dyDescent="0.25">
      <c r="D767" s="33"/>
      <c r="E767" s="33">
        <v>737</v>
      </c>
      <c r="F767" s="37"/>
      <c r="G767" s="37"/>
      <c r="H767" s="37">
        <f t="shared" si="505"/>
        <v>868800</v>
      </c>
      <c r="I767" s="37">
        <f ca="1">(RANDBETWEEN($E$14,$F$14)*$I$9)+$I$10+$I$18</f>
        <v>-189819.59895313275</v>
      </c>
      <c r="J767" s="37">
        <f ca="1">(RANDBETWEEN($E$14,$F$14)*$J$9)+$J$10+$J$18</f>
        <v>221933.48456383706</v>
      </c>
      <c r="K767" s="37">
        <f ca="1">(RANDBETWEEN($E$14,$F$14)*$K$9)+$K$10+$K$18</f>
        <v>24363.532183028292</v>
      </c>
      <c r="L767" s="37">
        <f ca="1">(RANDBETWEEN($E$14,$F$14)*$L$9)+$L$10+$L$18</f>
        <v>999716.39339203853</v>
      </c>
      <c r="M767" s="37">
        <f ca="1">(RANDBETWEEN($E$14,$F$14)*$M$9)+$M$10+$M$18</f>
        <v>1043245.7659826493</v>
      </c>
      <c r="N767" s="37">
        <f t="shared" ref="N767" ca="1" si="732">NPV($E$23+$F$23,H767:M767)+$H$4</f>
        <v>1369187.0324723539</v>
      </c>
    </row>
    <row r="768" spans="4:17" x14ac:dyDescent="0.25">
      <c r="D768" s="33"/>
      <c r="E768" s="33">
        <v>738</v>
      </c>
      <c r="F768" s="37"/>
      <c r="G768" s="37"/>
      <c r="H768" s="37">
        <f t="shared" si="505"/>
        <v>868800</v>
      </c>
      <c r="I768" s="37">
        <f ca="1">(RANDBETWEEN($E$14,$F$14)*$I$9)+$I$10+$I$18</f>
        <v>-369472.96408399101</v>
      </c>
      <c r="J768" s="37">
        <f ca="1">(RANDBETWEEN($E$14,$F$14)*$J$9)+$J$10+$J$18</f>
        <v>221933.48456383706</v>
      </c>
      <c r="K768" s="37">
        <f ca="1">(RANDBETWEEN($E$14,$F$14)*$K$9)+$K$10+$K$18</f>
        <v>24363.532183028292</v>
      </c>
      <c r="L768" s="37">
        <f ca="1">(RANDBETWEEN($E$14,$F$14)*$L$9)+$L$10+$L$18</f>
        <v>999716.39339203853</v>
      </c>
      <c r="M768" s="37">
        <f ca="1">(RANDBETWEEN($E$14,$F$14)*$M$9)+$M$10+$M$18</f>
        <v>1424944.0925515993</v>
      </c>
      <c r="N768" s="37">
        <f t="shared" ref="N768" ca="1" si="733">NPV($E$23+$F$23,H768:M768)+$H$4</f>
        <v>1491065.3025506642</v>
      </c>
    </row>
    <row r="769" spans="4:14" x14ac:dyDescent="0.25">
      <c r="D769" s="33"/>
      <c r="E769" s="33">
        <v>739</v>
      </c>
      <c r="F769" s="37"/>
      <c r="G769" s="37"/>
      <c r="H769" s="37">
        <f t="shared" si="505"/>
        <v>868800</v>
      </c>
      <c r="I769" s="37">
        <f ca="1">(RANDBETWEEN($E$14,$F$14)*$I$9)+$I$10+$I$18</f>
        <v>-189819.59895313275</v>
      </c>
      <c r="J769" s="37">
        <f ca="1">(RANDBETWEEN($E$14,$F$14)*$J$9)+$J$10+$J$18</f>
        <v>-9238.8910066427197</v>
      </c>
      <c r="K769" s="37">
        <f ca="1">(RANDBETWEEN($E$14,$F$14)*$K$9)+$K$10+$K$18</f>
        <v>24363.532183028292</v>
      </c>
      <c r="L769" s="37">
        <f ca="1">(RANDBETWEEN($E$14,$F$14)*$L$9)+$L$10+$L$18</f>
        <v>999716.39339203853</v>
      </c>
      <c r="M769" s="37">
        <f ca="1">(RANDBETWEEN($E$14,$F$14)*$M$9)+$M$10+$M$18</f>
        <v>1424944.0925515993</v>
      </c>
      <c r="N769" s="37">
        <f t="shared" ref="N769" ca="1" si="734">NPV($E$23+$F$23,H769:M769)+$H$4</f>
        <v>1454320.8108689203</v>
      </c>
    </row>
    <row r="770" spans="4:14" x14ac:dyDescent="0.25">
      <c r="D770" s="33"/>
      <c r="E770" s="33">
        <v>740</v>
      </c>
      <c r="F770" s="37"/>
      <c r="G770" s="37"/>
      <c r="H770" s="37">
        <f t="shared" si="505"/>
        <v>868800</v>
      </c>
      <c r="I770" s="37">
        <f ca="1">(RANDBETWEEN($E$14,$F$14)*$I$9)+$I$10+$I$18</f>
        <v>-189819.59895313275</v>
      </c>
      <c r="J770" s="37">
        <f ca="1">(RANDBETWEEN($E$14,$F$14)*$J$9)+$J$10+$J$18</f>
        <v>221933.48456383706</v>
      </c>
      <c r="K770" s="37">
        <f ca="1">(RANDBETWEEN($E$14,$F$14)*$K$9)+$K$10+$K$18</f>
        <v>260393.25392346107</v>
      </c>
      <c r="L770" s="37">
        <f ca="1">(RANDBETWEEN($E$14,$F$14)*$L$9)+$L$10+$L$18</f>
        <v>671221.40421803342</v>
      </c>
      <c r="M770" s="37">
        <f ca="1">(RANDBETWEEN($E$14,$F$14)*$M$9)+$M$10+$M$18</f>
        <v>1424944.0925515993</v>
      </c>
      <c r="N770" s="37">
        <f t="shared" ref="N770" ca="1" si="735">NPV($E$23+$F$23,H770:M770)+$H$4</f>
        <v>1590814.0172572271</v>
      </c>
    </row>
    <row r="771" spans="4:14" x14ac:dyDescent="0.25">
      <c r="D771" s="33"/>
      <c r="E771" s="33">
        <v>741</v>
      </c>
      <c r="F771" s="37"/>
      <c r="G771" s="37"/>
      <c r="H771" s="37">
        <f t="shared" si="505"/>
        <v>868800</v>
      </c>
      <c r="I771" s="37">
        <f ca="1">(RANDBETWEEN($E$14,$F$14)*$I$9)+$I$10+$I$18</f>
        <v>-189819.59895313275</v>
      </c>
      <c r="J771" s="37">
        <f ca="1">(RANDBETWEEN($E$14,$F$14)*$J$9)+$J$10+$J$18</f>
        <v>221933.48456383706</v>
      </c>
      <c r="K771" s="37">
        <f ca="1">(RANDBETWEEN($E$14,$F$14)*$K$9)+$K$10+$K$18</f>
        <v>260393.25392346107</v>
      </c>
      <c r="L771" s="37">
        <f ca="1">(RANDBETWEEN($E$14,$F$14)*$L$9)+$L$10+$L$18</f>
        <v>999716.39339203853</v>
      </c>
      <c r="M771" s="37">
        <f ca="1">(RANDBETWEEN($E$14,$F$14)*$M$9)+$M$10+$M$18</f>
        <v>1424944.0925515993</v>
      </c>
      <c r="N771" s="37">
        <f t="shared" ref="N771" ca="1" si="736">NPV($E$23+$F$23,H771:M771)+$H$4</f>
        <v>1848198.4368288331</v>
      </c>
    </row>
    <row r="772" spans="4:14" x14ac:dyDescent="0.25">
      <c r="D772" s="33"/>
      <c r="E772" s="33">
        <v>742</v>
      </c>
      <c r="F772" s="37"/>
      <c r="G772" s="37"/>
      <c r="H772" s="37">
        <f t="shared" si="505"/>
        <v>868800</v>
      </c>
      <c r="I772" s="37">
        <f ca="1">(RANDBETWEEN($E$14,$F$14)*$I$9)+$I$10+$I$18</f>
        <v>-369472.96408399101</v>
      </c>
      <c r="J772" s="37">
        <f ca="1">(RANDBETWEEN($E$14,$F$14)*$J$9)+$J$10+$J$18</f>
        <v>-9238.8910066427197</v>
      </c>
      <c r="K772" s="37">
        <f ca="1">(RANDBETWEEN($E$14,$F$14)*$K$9)+$K$10+$K$18</f>
        <v>24363.532183028292</v>
      </c>
      <c r="L772" s="37">
        <f ca="1">(RANDBETWEEN($E$14,$F$14)*$L$9)+$L$10+$L$18</f>
        <v>671221.40421803342</v>
      </c>
      <c r="M772" s="37">
        <f ca="1">(RANDBETWEEN($E$14,$F$14)*$M$9)+$M$10+$M$18</f>
        <v>1043245.7659826493</v>
      </c>
      <c r="N772" s="37">
        <f t="shared" ref="N772" ca="1" si="737">NPV($E$23+$F$23,H772:M772)+$H$4</f>
        <v>749156.32506325236</v>
      </c>
    </row>
    <row r="773" spans="4:14" x14ac:dyDescent="0.25">
      <c r="D773" s="33"/>
      <c r="E773" s="33">
        <v>743</v>
      </c>
      <c r="F773" s="37"/>
      <c r="G773" s="37"/>
      <c r="H773" s="37">
        <f t="shared" si="505"/>
        <v>868800</v>
      </c>
      <c r="I773" s="37">
        <f ca="1">(RANDBETWEEN($E$14,$F$14)*$I$9)+$I$10+$I$18</f>
        <v>-369472.96408399101</v>
      </c>
      <c r="J773" s="37">
        <f ca="1">(RANDBETWEEN($E$14,$F$14)*$J$9)+$J$10+$J$18</f>
        <v>221933.48456383706</v>
      </c>
      <c r="K773" s="37">
        <f ca="1">(RANDBETWEEN($E$14,$F$14)*$K$9)+$K$10+$K$18</f>
        <v>260393.25392346107</v>
      </c>
      <c r="L773" s="37">
        <f ca="1">(RANDBETWEEN($E$14,$F$14)*$L$9)+$L$10+$L$18</f>
        <v>999716.39339203853</v>
      </c>
      <c r="M773" s="37">
        <f ca="1">(RANDBETWEEN($E$14,$F$14)*$M$9)+$M$10+$M$18</f>
        <v>1424944.0925515993</v>
      </c>
      <c r="N773" s="37">
        <f t="shared" ref="N773" ca="1" si="738">NPV($E$23+$F$23,H773:M773)+$H$4</f>
        <v>1685247.5387509572</v>
      </c>
    </row>
    <row r="774" spans="4:14" x14ac:dyDescent="0.25">
      <c r="D774" s="33"/>
      <c r="E774" s="33">
        <v>744</v>
      </c>
      <c r="F774" s="37"/>
      <c r="G774" s="37"/>
      <c r="H774" s="37">
        <f t="shared" si="505"/>
        <v>868800</v>
      </c>
      <c r="I774" s="37">
        <f ca="1">(RANDBETWEEN($E$14,$F$14)*$I$9)+$I$10+$I$18</f>
        <v>-189819.59895313275</v>
      </c>
      <c r="J774" s="37">
        <f ca="1">(RANDBETWEEN($E$14,$F$14)*$J$9)+$J$10+$J$18</f>
        <v>-9238.8910066427197</v>
      </c>
      <c r="K774" s="37">
        <f ca="1">(RANDBETWEEN($E$14,$F$14)*$K$9)+$K$10+$K$18</f>
        <v>260393.25392346107</v>
      </c>
      <c r="L774" s="37">
        <f ca="1">(RANDBETWEEN($E$14,$F$14)*$L$9)+$L$10+$L$18</f>
        <v>999716.39339203853</v>
      </c>
      <c r="M774" s="37">
        <f ca="1">(RANDBETWEEN($E$14,$F$14)*$M$9)+$M$10+$M$18</f>
        <v>1043245.7659826493</v>
      </c>
      <c r="N774" s="37">
        <f t="shared" ref="N774" ca="1" si="739">NPV($E$23+$F$23,H774:M774)+$H$4</f>
        <v>1363673.8789130282</v>
      </c>
    </row>
    <row r="775" spans="4:14" x14ac:dyDescent="0.25">
      <c r="D775" s="33"/>
      <c r="E775" s="33">
        <v>745</v>
      </c>
      <c r="F775" s="37"/>
      <c r="G775" s="37"/>
      <c r="H775" s="37">
        <f t="shared" si="505"/>
        <v>868800</v>
      </c>
      <c r="I775" s="37">
        <f ca="1">(RANDBETWEEN($E$14,$F$14)*$I$9)+$I$10+$I$18</f>
        <v>-189819.59895313275</v>
      </c>
      <c r="J775" s="37">
        <f ca="1">(RANDBETWEEN($E$14,$F$14)*$J$9)+$J$10+$J$18</f>
        <v>-9238.8910066427197</v>
      </c>
      <c r="K775" s="37">
        <f ca="1">(RANDBETWEEN($E$14,$F$14)*$K$9)+$K$10+$K$18</f>
        <v>260393.25392346107</v>
      </c>
      <c r="L775" s="37">
        <f ca="1">(RANDBETWEEN($E$14,$F$14)*$L$9)+$L$10+$L$18</f>
        <v>999716.39339203853</v>
      </c>
      <c r="M775" s="37">
        <f ca="1">(RANDBETWEEN($E$14,$F$14)*$M$9)+$M$10+$M$18</f>
        <v>1424944.0925515993</v>
      </c>
      <c r="N775" s="37">
        <f t="shared" ref="N775" ca="1" si="740">NPV($E$23+$F$23,H775:M775)+$H$4</f>
        <v>1648503.0470692138</v>
      </c>
    </row>
    <row r="776" spans="4:14" x14ac:dyDescent="0.25">
      <c r="D776" s="33"/>
      <c r="E776" s="33">
        <v>746</v>
      </c>
      <c r="F776" s="37"/>
      <c r="G776" s="37"/>
      <c r="H776" s="37">
        <f t="shared" si="505"/>
        <v>868800</v>
      </c>
      <c r="I776" s="37">
        <f ca="1">(RANDBETWEEN($E$14,$F$14)*$I$9)+$I$10+$I$18</f>
        <v>-189819.59895313275</v>
      </c>
      <c r="J776" s="37">
        <f ca="1">(RANDBETWEEN($E$14,$F$14)*$J$9)+$J$10+$J$18</f>
        <v>-9238.8910066427197</v>
      </c>
      <c r="K776" s="37">
        <f ca="1">(RANDBETWEEN($E$14,$F$14)*$K$9)+$K$10+$K$18</f>
        <v>260393.25392346107</v>
      </c>
      <c r="L776" s="37">
        <f ca="1">(RANDBETWEEN($E$14,$F$14)*$L$9)+$L$10+$L$18</f>
        <v>671221.40421803342</v>
      </c>
      <c r="M776" s="37">
        <f ca="1">(RANDBETWEEN($E$14,$F$14)*$M$9)+$M$10+$M$18</f>
        <v>1043245.7659826493</v>
      </c>
      <c r="N776" s="37">
        <f t="shared" ref="N776" ca="1" si="741">NPV($E$23+$F$23,H776:M776)+$H$4</f>
        <v>1106289.4593414213</v>
      </c>
    </row>
    <row r="777" spans="4:14" x14ac:dyDescent="0.25">
      <c r="D777" s="33"/>
      <c r="E777" s="33">
        <v>747</v>
      </c>
      <c r="F777" s="37"/>
      <c r="G777" s="37"/>
      <c r="H777" s="37">
        <f t="shared" si="505"/>
        <v>868800</v>
      </c>
      <c r="I777" s="37">
        <f ca="1">(RANDBETWEEN($E$14,$F$14)*$I$9)+$I$10+$I$18</f>
        <v>-189819.59895313275</v>
      </c>
      <c r="J777" s="37">
        <f ca="1">(RANDBETWEEN($E$14,$F$14)*$J$9)+$J$10+$J$18</f>
        <v>221933.48456383706</v>
      </c>
      <c r="K777" s="37">
        <f ca="1">(RANDBETWEEN($E$14,$F$14)*$K$9)+$K$10+$K$18</f>
        <v>24363.532183028292</v>
      </c>
      <c r="L777" s="37">
        <f ca="1">(RANDBETWEEN($E$14,$F$14)*$L$9)+$L$10+$L$18</f>
        <v>671221.40421803342</v>
      </c>
      <c r="M777" s="37">
        <f ca="1">(RANDBETWEEN($E$14,$F$14)*$M$9)+$M$10+$M$18</f>
        <v>1424944.0925515993</v>
      </c>
      <c r="N777" s="37">
        <f t="shared" ref="N777" ca="1" si="742">NPV($E$23+$F$23,H777:M777)+$H$4</f>
        <v>1396631.7810569336</v>
      </c>
    </row>
    <row r="778" spans="4:14" x14ac:dyDescent="0.25">
      <c r="D778" s="33"/>
      <c r="E778" s="33">
        <v>748</v>
      </c>
      <c r="F778" s="37"/>
      <c r="G778" s="37"/>
      <c r="H778" s="37">
        <f t="shared" si="505"/>
        <v>868800</v>
      </c>
      <c r="I778" s="37">
        <f ca="1">(RANDBETWEEN($E$14,$F$14)*$I$9)+$I$10+$I$18</f>
        <v>-369472.96408399101</v>
      </c>
      <c r="J778" s="37">
        <f ca="1">(RANDBETWEEN($E$14,$F$14)*$J$9)+$J$10+$J$18</f>
        <v>221933.48456383706</v>
      </c>
      <c r="K778" s="37">
        <f ca="1">(RANDBETWEEN($E$14,$F$14)*$K$9)+$K$10+$K$18</f>
        <v>24363.532183028292</v>
      </c>
      <c r="L778" s="37">
        <f ca="1">(RANDBETWEEN($E$14,$F$14)*$L$9)+$L$10+$L$18</f>
        <v>671221.40421803342</v>
      </c>
      <c r="M778" s="37">
        <f ca="1">(RANDBETWEEN($E$14,$F$14)*$M$9)+$M$10+$M$18</f>
        <v>1043245.7659826493</v>
      </c>
      <c r="N778" s="37">
        <f t="shared" ref="N778" ca="1" si="743">NPV($E$23+$F$23,H778:M778)+$H$4</f>
        <v>948851.71482287208</v>
      </c>
    </row>
    <row r="779" spans="4:14" x14ac:dyDescent="0.25">
      <c r="D779" s="33"/>
      <c r="E779" s="33">
        <v>749</v>
      </c>
      <c r="F779" s="37"/>
      <c r="G779" s="37"/>
      <c r="H779" s="37">
        <f t="shared" si="505"/>
        <v>868800</v>
      </c>
      <c r="I779" s="37">
        <f ca="1">(RANDBETWEEN($E$14,$F$14)*$I$9)+$I$10+$I$18</f>
        <v>-189819.59895313275</v>
      </c>
      <c r="J779" s="37">
        <f ca="1">(RANDBETWEEN($E$14,$F$14)*$J$9)+$J$10+$J$18</f>
        <v>221933.48456383706</v>
      </c>
      <c r="K779" s="37">
        <f ca="1">(RANDBETWEEN($E$14,$F$14)*$K$9)+$K$10+$K$18</f>
        <v>260393.25392346107</v>
      </c>
      <c r="L779" s="37">
        <f ca="1">(RANDBETWEEN($E$14,$F$14)*$L$9)+$L$10+$L$18</f>
        <v>999716.39339203853</v>
      </c>
      <c r="M779" s="37">
        <f ca="1">(RANDBETWEEN($E$14,$F$14)*$M$9)+$M$10+$M$18</f>
        <v>1424944.0925515993</v>
      </c>
      <c r="N779" s="37">
        <f t="shared" ref="N779" ca="1" si="744">NPV($E$23+$F$23,H779:M779)+$H$4</f>
        <v>1848198.4368288331</v>
      </c>
    </row>
    <row r="780" spans="4:14" x14ac:dyDescent="0.25">
      <c r="D780" s="33"/>
      <c r="E780" s="33">
        <v>750</v>
      </c>
      <c r="F780" s="37"/>
      <c r="G780" s="37"/>
      <c r="H780" s="37">
        <f t="shared" si="505"/>
        <v>868800</v>
      </c>
      <c r="I780" s="37">
        <f ca="1">(RANDBETWEEN($E$14,$F$14)*$I$9)+$I$10+$I$18</f>
        <v>-189819.59895313275</v>
      </c>
      <c r="J780" s="37">
        <f ca="1">(RANDBETWEEN($E$14,$F$14)*$J$9)+$J$10+$J$18</f>
        <v>-9238.8910066427197</v>
      </c>
      <c r="K780" s="37">
        <f ca="1">(RANDBETWEEN($E$14,$F$14)*$K$9)+$K$10+$K$18</f>
        <v>24363.532183028292</v>
      </c>
      <c r="L780" s="37">
        <f ca="1">(RANDBETWEEN($E$14,$F$14)*$L$9)+$L$10+$L$18</f>
        <v>999716.39339203853</v>
      </c>
      <c r="M780" s="37">
        <f ca="1">(RANDBETWEEN($E$14,$F$14)*$M$9)+$M$10+$M$18</f>
        <v>1043245.7659826493</v>
      </c>
      <c r="N780" s="37">
        <f t="shared" ref="N780" ca="1" si="745">NPV($E$23+$F$23,H780:M780)+$H$4</f>
        <v>1169491.6427127346</v>
      </c>
    </row>
    <row r="781" spans="4:14" x14ac:dyDescent="0.25">
      <c r="D781" s="33"/>
      <c r="E781" s="33">
        <v>751</v>
      </c>
      <c r="F781" s="37"/>
      <c r="G781" s="37"/>
      <c r="H781" s="37">
        <f t="shared" si="505"/>
        <v>868800</v>
      </c>
      <c r="I781" s="37">
        <f ca="1">(RANDBETWEEN($E$14,$F$14)*$I$9)+$I$10+$I$18</f>
        <v>-189819.59895313275</v>
      </c>
      <c r="J781" s="37">
        <f ca="1">(RANDBETWEEN($E$14,$F$14)*$J$9)+$J$10+$J$18</f>
        <v>-9238.8910066427197</v>
      </c>
      <c r="K781" s="37">
        <f ca="1">(RANDBETWEEN($E$14,$F$14)*$K$9)+$K$10+$K$18</f>
        <v>260393.25392346107</v>
      </c>
      <c r="L781" s="37">
        <f ca="1">(RANDBETWEEN($E$14,$F$14)*$L$9)+$L$10+$L$18</f>
        <v>999716.39339203853</v>
      </c>
      <c r="M781" s="37">
        <f ca="1">(RANDBETWEEN($E$14,$F$14)*$M$9)+$M$10+$M$18</f>
        <v>1424944.0925515993</v>
      </c>
      <c r="N781" s="37">
        <f t="shared" ref="N781" ca="1" si="746">NPV($E$23+$F$23,H781:M781)+$H$4</f>
        <v>1648503.0470692138</v>
      </c>
    </row>
    <row r="782" spans="4:14" x14ac:dyDescent="0.25">
      <c r="D782" s="33"/>
      <c r="E782" s="33">
        <v>752</v>
      </c>
      <c r="F782" s="37"/>
      <c r="G782" s="37"/>
      <c r="H782" s="37">
        <f t="shared" si="505"/>
        <v>868800</v>
      </c>
      <c r="I782" s="37">
        <f ca="1">(RANDBETWEEN($E$14,$F$14)*$I$9)+$I$10+$I$18</f>
        <v>-369472.96408399101</v>
      </c>
      <c r="J782" s="37">
        <f ca="1">(RANDBETWEEN($E$14,$F$14)*$J$9)+$J$10+$J$18</f>
        <v>221933.48456383706</v>
      </c>
      <c r="K782" s="37">
        <f ca="1">(RANDBETWEEN($E$14,$F$14)*$K$9)+$K$10+$K$18</f>
        <v>24363.532183028292</v>
      </c>
      <c r="L782" s="37">
        <f ca="1">(RANDBETWEEN($E$14,$F$14)*$L$9)+$L$10+$L$18</f>
        <v>999716.39339203853</v>
      </c>
      <c r="M782" s="37">
        <f ca="1">(RANDBETWEEN($E$14,$F$14)*$M$9)+$M$10+$M$18</f>
        <v>1043245.7659826493</v>
      </c>
      <c r="N782" s="37">
        <f t="shared" ref="N782" ca="1" si="747">NPV($E$23+$F$23,H782:M782)+$H$4</f>
        <v>1206236.1343944785</v>
      </c>
    </row>
    <row r="783" spans="4:14" x14ac:dyDescent="0.25">
      <c r="D783" s="33"/>
      <c r="E783" s="33">
        <v>753</v>
      </c>
      <c r="F783" s="37"/>
      <c r="G783" s="37"/>
      <c r="H783" s="37">
        <f t="shared" si="505"/>
        <v>868800</v>
      </c>
      <c r="I783" s="37">
        <f ca="1">(RANDBETWEEN($E$14,$F$14)*$I$9)+$I$10+$I$18</f>
        <v>-369472.96408399101</v>
      </c>
      <c r="J783" s="37">
        <f ca="1">(RANDBETWEEN($E$14,$F$14)*$J$9)+$J$10+$J$18</f>
        <v>-9238.8910066427197</v>
      </c>
      <c r="K783" s="37">
        <f ca="1">(RANDBETWEEN($E$14,$F$14)*$K$9)+$K$10+$K$18</f>
        <v>24363.532183028292</v>
      </c>
      <c r="L783" s="37">
        <f ca="1">(RANDBETWEEN($E$14,$F$14)*$L$9)+$L$10+$L$18</f>
        <v>999716.39339203853</v>
      </c>
      <c r="M783" s="37">
        <f ca="1">(RANDBETWEEN($E$14,$F$14)*$M$9)+$M$10+$M$18</f>
        <v>1424944.0925515993</v>
      </c>
      <c r="N783" s="37">
        <f t="shared" ref="N783" ca="1" si="748">NPV($E$23+$F$23,H783:M783)+$H$4</f>
        <v>1291369.9127910445</v>
      </c>
    </row>
    <row r="784" spans="4:14" x14ac:dyDescent="0.25">
      <c r="D784" s="33"/>
      <c r="E784" s="33">
        <v>754</v>
      </c>
      <c r="F784" s="37"/>
      <c r="G784" s="37"/>
      <c r="H784" s="37">
        <f t="shared" si="505"/>
        <v>868800</v>
      </c>
      <c r="I784" s="37">
        <f ca="1">(RANDBETWEEN($E$14,$F$14)*$I$9)+$I$10+$I$18</f>
        <v>-369472.96408399101</v>
      </c>
      <c r="J784" s="37">
        <f ca="1">(RANDBETWEEN($E$14,$F$14)*$J$9)+$J$10+$J$18</f>
        <v>-9238.8910066427197</v>
      </c>
      <c r="K784" s="37">
        <f ca="1">(RANDBETWEEN($E$14,$F$14)*$K$9)+$K$10+$K$18</f>
        <v>260393.25392346107</v>
      </c>
      <c r="L784" s="37">
        <f ca="1">(RANDBETWEEN($E$14,$F$14)*$L$9)+$L$10+$L$18</f>
        <v>999716.39339203853</v>
      </c>
      <c r="M784" s="37">
        <f ca="1">(RANDBETWEEN($E$14,$F$14)*$M$9)+$M$10+$M$18</f>
        <v>1424944.0925515993</v>
      </c>
      <c r="N784" s="37">
        <f t="shared" ref="N784" ca="1" si="749">NPV($E$23+$F$23,H784:M784)+$H$4</f>
        <v>1485552.1489913375</v>
      </c>
    </row>
    <row r="785" spans="4:17" x14ac:dyDescent="0.25">
      <c r="D785" s="33"/>
      <c r="E785" s="33">
        <v>755</v>
      </c>
      <c r="F785" s="37"/>
      <c r="G785" s="37"/>
      <c r="H785" s="37">
        <f t="shared" si="505"/>
        <v>868800</v>
      </c>
      <c r="I785" s="37">
        <f ca="1">(RANDBETWEEN($E$14,$F$14)*$I$9)+$I$10+$I$18</f>
        <v>-369472.96408399101</v>
      </c>
      <c r="J785" s="37">
        <f ca="1">(RANDBETWEEN($E$14,$F$14)*$J$9)+$J$10+$J$18</f>
        <v>221933.48456383706</v>
      </c>
      <c r="K785" s="37">
        <f ca="1">(RANDBETWEEN($E$14,$F$14)*$K$9)+$K$10+$K$18</f>
        <v>24363.532183028292</v>
      </c>
      <c r="L785" s="37">
        <f ca="1">(RANDBETWEEN($E$14,$F$14)*$L$9)+$L$10+$L$18</f>
        <v>999716.39339203853</v>
      </c>
      <c r="M785" s="37">
        <f ca="1">(RANDBETWEEN($E$14,$F$14)*$M$9)+$M$10+$M$18</f>
        <v>1043245.7659826493</v>
      </c>
      <c r="N785" s="37">
        <f t="shared" ref="N785" ca="1" si="750">NPV($E$23+$F$23,H785:M785)+$H$4</f>
        <v>1206236.1343944785</v>
      </c>
    </row>
    <row r="786" spans="4:17" x14ac:dyDescent="0.25">
      <c r="D786" s="33"/>
      <c r="E786" s="33">
        <v>756</v>
      </c>
      <c r="F786" s="37"/>
      <c r="G786" s="37"/>
      <c r="H786" s="37">
        <f t="shared" si="505"/>
        <v>868800</v>
      </c>
      <c r="I786" s="37">
        <f ca="1">(RANDBETWEEN($E$14,$F$14)*$I$9)+$I$10+$I$18</f>
        <v>-369472.96408399101</v>
      </c>
      <c r="J786" s="37">
        <f ca="1">(RANDBETWEEN($E$14,$F$14)*$J$9)+$J$10+$J$18</f>
        <v>221933.48456383706</v>
      </c>
      <c r="K786" s="37">
        <f ca="1">(RANDBETWEEN($E$14,$F$14)*$K$9)+$K$10+$K$18</f>
        <v>24363.532183028292</v>
      </c>
      <c r="L786" s="37">
        <f ca="1">(RANDBETWEEN($E$14,$F$14)*$L$9)+$L$10+$L$18</f>
        <v>999716.39339203853</v>
      </c>
      <c r="M786" s="37">
        <f ca="1">(RANDBETWEEN($E$14,$F$14)*$M$9)+$M$10+$M$18</f>
        <v>1043245.7659826493</v>
      </c>
      <c r="N786" s="37">
        <f t="shared" ref="N786" ca="1" si="751">NPV($E$23+$F$23,H786:M786)+$H$4</f>
        <v>1206236.1343944785</v>
      </c>
    </row>
    <row r="787" spans="4:17" x14ac:dyDescent="0.25">
      <c r="D787" s="33"/>
      <c r="E787" s="33">
        <v>757</v>
      </c>
      <c r="F787" s="37"/>
      <c r="G787" s="37"/>
      <c r="H787" s="37">
        <f t="shared" si="505"/>
        <v>868800</v>
      </c>
      <c r="I787" s="37">
        <f ca="1">(RANDBETWEEN($E$14,$F$14)*$I$9)+$I$10+$I$18</f>
        <v>-189819.59895313275</v>
      </c>
      <c r="J787" s="37">
        <f ca="1">(RANDBETWEEN($E$14,$F$14)*$J$9)+$J$10+$J$18</f>
        <v>221933.48456383706</v>
      </c>
      <c r="K787" s="37">
        <f ca="1">(RANDBETWEEN($E$14,$F$14)*$K$9)+$K$10+$K$18</f>
        <v>260393.25392346107</v>
      </c>
      <c r="L787" s="37">
        <f ca="1">(RANDBETWEEN($E$14,$F$14)*$L$9)+$L$10+$L$18</f>
        <v>671221.40421803342</v>
      </c>
      <c r="M787" s="37">
        <f ca="1">(RANDBETWEEN($E$14,$F$14)*$M$9)+$M$10+$M$18</f>
        <v>1043245.7659826493</v>
      </c>
      <c r="N787" s="37">
        <f t="shared" ref="N787" ca="1" si="752">NPV($E$23+$F$23,H787:M787)+$H$4</f>
        <v>1305984.8491010414</v>
      </c>
    </row>
    <row r="788" spans="4:17" x14ac:dyDescent="0.25">
      <c r="D788" s="33"/>
      <c r="E788" s="33">
        <v>758</v>
      </c>
      <c r="F788" s="37"/>
      <c r="G788" s="37"/>
      <c r="H788" s="37">
        <f t="shared" si="505"/>
        <v>868800</v>
      </c>
      <c r="I788" s="37">
        <f ca="1">(RANDBETWEEN($E$14,$F$14)*$I$9)+$I$10+$I$18</f>
        <v>-369472.96408399101</v>
      </c>
      <c r="J788" s="37">
        <f ca="1">(RANDBETWEEN($E$14,$F$14)*$J$9)+$J$10+$J$18</f>
        <v>221933.48456383706</v>
      </c>
      <c r="K788" s="37">
        <f ca="1">(RANDBETWEEN($E$14,$F$14)*$K$9)+$K$10+$K$18</f>
        <v>24363.532183028292</v>
      </c>
      <c r="L788" s="37">
        <f ca="1">(RANDBETWEEN($E$14,$F$14)*$L$9)+$L$10+$L$18</f>
        <v>671221.40421803342</v>
      </c>
      <c r="M788" s="37">
        <f ca="1">(RANDBETWEEN($E$14,$F$14)*$M$9)+$M$10+$M$18</f>
        <v>1424944.0925515993</v>
      </c>
      <c r="N788" s="37">
        <f t="shared" ref="N788" ca="1" si="753">NPV($E$23+$F$23,H788:M788)+$H$4</f>
        <v>1233680.8829790577</v>
      </c>
    </row>
    <row r="789" spans="4:17" x14ac:dyDescent="0.25">
      <c r="D789" s="33"/>
      <c r="E789" s="33">
        <v>759</v>
      </c>
      <c r="F789" s="37"/>
      <c r="G789" s="37"/>
      <c r="H789" s="37">
        <f t="shared" si="505"/>
        <v>868800</v>
      </c>
      <c r="I789" s="37">
        <f ca="1">(RANDBETWEEN($E$14,$F$14)*$I$9)+$I$10+$I$18</f>
        <v>-189819.59895313275</v>
      </c>
      <c r="J789" s="37">
        <f ca="1">(RANDBETWEEN($E$14,$F$14)*$J$9)+$J$10+$J$18</f>
        <v>-9238.8910066427197</v>
      </c>
      <c r="K789" s="37">
        <f ca="1">(RANDBETWEEN($E$14,$F$14)*$K$9)+$K$10+$K$18</f>
        <v>260393.25392346107</v>
      </c>
      <c r="L789" s="37">
        <f ca="1">(RANDBETWEEN($E$14,$F$14)*$L$9)+$L$10+$L$18</f>
        <v>999716.39339203853</v>
      </c>
      <c r="M789" s="37">
        <f ca="1">(RANDBETWEEN($E$14,$F$14)*$M$9)+$M$10+$M$18</f>
        <v>1043245.7659826493</v>
      </c>
      <c r="N789" s="37">
        <f t="shared" ref="N789" ca="1" si="754">NPV($E$23+$F$23,H789:M789)+$H$4</f>
        <v>1363673.8789130282</v>
      </c>
    </row>
    <row r="790" spans="4:17" x14ac:dyDescent="0.25">
      <c r="D790" s="33"/>
      <c r="E790" s="33">
        <v>760</v>
      </c>
      <c r="F790" s="37"/>
      <c r="G790" s="37"/>
      <c r="H790" s="37">
        <f t="shared" si="505"/>
        <v>868800</v>
      </c>
      <c r="I790" s="37">
        <f ca="1">(RANDBETWEEN($E$14,$F$14)*$I$9)+$I$10+$I$18</f>
        <v>-369472.96408399101</v>
      </c>
      <c r="J790" s="37">
        <f ca="1">(RANDBETWEEN($E$14,$F$14)*$J$9)+$J$10+$J$18</f>
        <v>-9238.8910066427197</v>
      </c>
      <c r="K790" s="37">
        <f ca="1">(RANDBETWEEN($E$14,$F$14)*$K$9)+$K$10+$K$18</f>
        <v>260393.25392346107</v>
      </c>
      <c r="L790" s="37">
        <f ca="1">(RANDBETWEEN($E$14,$F$14)*$L$9)+$L$10+$L$18</f>
        <v>999716.39339203853</v>
      </c>
      <c r="M790" s="37">
        <f ca="1">(RANDBETWEEN($E$14,$F$14)*$M$9)+$M$10+$M$18</f>
        <v>1043245.7659826493</v>
      </c>
      <c r="N790" s="37">
        <f t="shared" ref="N790" ca="1" si="755">NPV($E$23+$F$23,H790:M790)+$H$4</f>
        <v>1200722.9808351514</v>
      </c>
      <c r="Q790" s="37"/>
    </row>
    <row r="791" spans="4:17" x14ac:dyDescent="0.25">
      <c r="D791" s="33"/>
      <c r="E791" s="33">
        <v>761</v>
      </c>
      <c r="F791" s="37"/>
      <c r="G791" s="37"/>
      <c r="H791" s="37">
        <f t="shared" si="505"/>
        <v>868800</v>
      </c>
      <c r="I791" s="37">
        <f ca="1">(RANDBETWEEN($E$14,$F$14)*$I$9)+$I$10+$I$18</f>
        <v>-189819.59895313275</v>
      </c>
      <c r="J791" s="37">
        <f ca="1">(RANDBETWEEN($E$14,$F$14)*$J$9)+$J$10+$J$18</f>
        <v>-9238.8910066427197</v>
      </c>
      <c r="K791" s="37">
        <f ca="1">(RANDBETWEEN($E$14,$F$14)*$K$9)+$K$10+$K$18</f>
        <v>260393.25392346107</v>
      </c>
      <c r="L791" s="37">
        <f ca="1">(RANDBETWEEN($E$14,$F$14)*$L$9)+$L$10+$L$18</f>
        <v>999716.39339203853</v>
      </c>
      <c r="M791" s="37">
        <f ca="1">(RANDBETWEEN($E$14,$F$14)*$M$9)+$M$10+$M$18</f>
        <v>1043245.7659826493</v>
      </c>
      <c r="N791" s="37">
        <f t="shared" ref="N791" ca="1" si="756">NPV($E$23+$F$23,H791:M791)+$H$4</f>
        <v>1363673.8789130282</v>
      </c>
      <c r="Q791" s="37"/>
    </row>
    <row r="792" spans="4:17" x14ac:dyDescent="0.25">
      <c r="D792" s="33"/>
      <c r="E792" s="33">
        <v>762</v>
      </c>
      <c r="F792" s="37"/>
      <c r="G792" s="37"/>
      <c r="H792" s="37">
        <f t="shared" si="505"/>
        <v>868800</v>
      </c>
      <c r="I792" s="37">
        <f ca="1">(RANDBETWEEN($E$14,$F$14)*$I$9)+$I$10+$I$18</f>
        <v>-369472.96408399101</v>
      </c>
      <c r="J792" s="37">
        <f ca="1">(RANDBETWEEN($E$14,$F$14)*$J$9)+$J$10+$J$18</f>
        <v>221933.48456383706</v>
      </c>
      <c r="K792" s="37">
        <f ca="1">(RANDBETWEEN($E$14,$F$14)*$K$9)+$K$10+$K$18</f>
        <v>24363.532183028292</v>
      </c>
      <c r="L792" s="37">
        <f ca="1">(RANDBETWEEN($E$14,$F$14)*$L$9)+$L$10+$L$18</f>
        <v>999716.39339203853</v>
      </c>
      <c r="M792" s="37">
        <f ca="1">(RANDBETWEEN($E$14,$F$14)*$M$9)+$M$10+$M$18</f>
        <v>1043245.7659826493</v>
      </c>
      <c r="N792" s="37">
        <f t="shared" ref="N792" ca="1" si="757">NPV($E$23+$F$23,H792:M792)+$H$4</f>
        <v>1206236.1343944785</v>
      </c>
      <c r="Q792" s="37"/>
    </row>
    <row r="793" spans="4:17" x14ac:dyDescent="0.25">
      <c r="D793" s="33"/>
      <c r="E793" s="33">
        <v>763</v>
      </c>
      <c r="F793" s="37"/>
      <c r="G793" s="37"/>
      <c r="H793" s="37">
        <f t="shared" si="505"/>
        <v>868800</v>
      </c>
      <c r="I793" s="37">
        <f ca="1">(RANDBETWEEN($E$14,$F$14)*$I$9)+$I$10+$I$18</f>
        <v>-369472.96408399101</v>
      </c>
      <c r="J793" s="37">
        <f ca="1">(RANDBETWEEN($E$14,$F$14)*$J$9)+$J$10+$J$18</f>
        <v>221933.48456383706</v>
      </c>
      <c r="K793" s="37">
        <f ca="1">(RANDBETWEEN($E$14,$F$14)*$K$9)+$K$10+$K$18</f>
        <v>260393.25392346107</v>
      </c>
      <c r="L793" s="37">
        <f ca="1">(RANDBETWEEN($E$14,$F$14)*$L$9)+$L$10+$L$18</f>
        <v>671221.40421803342</v>
      </c>
      <c r="M793" s="37">
        <f ca="1">(RANDBETWEEN($E$14,$F$14)*$M$9)+$M$10+$M$18</f>
        <v>1424944.0925515993</v>
      </c>
      <c r="N793" s="37">
        <f t="shared" ref="N793" ca="1" si="758">NPV($E$23+$F$23,H793:M793)+$H$4</f>
        <v>1427863.1191793513</v>
      </c>
    </row>
    <row r="794" spans="4:17" x14ac:dyDescent="0.25">
      <c r="D794" s="33"/>
      <c r="E794" s="33">
        <v>764</v>
      </c>
      <c r="F794" s="37"/>
      <c r="G794" s="37"/>
      <c r="H794" s="37">
        <f t="shared" si="505"/>
        <v>868800</v>
      </c>
      <c r="I794" s="37">
        <f ca="1">(RANDBETWEEN($E$14,$F$14)*$I$9)+$I$10+$I$18</f>
        <v>-369472.96408399101</v>
      </c>
      <c r="J794" s="37">
        <f ca="1">(RANDBETWEEN($E$14,$F$14)*$J$9)+$J$10+$J$18</f>
        <v>-9238.8910066427197</v>
      </c>
      <c r="K794" s="37">
        <f ca="1">(RANDBETWEEN($E$14,$F$14)*$K$9)+$K$10+$K$18</f>
        <v>24363.532183028292</v>
      </c>
      <c r="L794" s="37">
        <f ca="1">(RANDBETWEEN($E$14,$F$14)*$L$9)+$L$10+$L$18</f>
        <v>671221.40421803342</v>
      </c>
      <c r="M794" s="37">
        <f ca="1">(RANDBETWEEN($E$14,$F$14)*$M$9)+$M$10+$M$18</f>
        <v>1043245.7659826493</v>
      </c>
      <c r="N794" s="37">
        <f t="shared" ref="N794" ca="1" si="759">NPV($E$23+$F$23,H794:M794)+$H$4</f>
        <v>749156.32506325236</v>
      </c>
    </row>
    <row r="795" spans="4:17" x14ac:dyDescent="0.25">
      <c r="D795" s="33"/>
      <c r="E795" s="33">
        <v>765</v>
      </c>
      <c r="F795" s="37"/>
      <c r="G795" s="37"/>
      <c r="H795" s="37">
        <f t="shared" si="505"/>
        <v>868800</v>
      </c>
      <c r="I795" s="37">
        <f ca="1">(RANDBETWEEN($E$14,$F$14)*$I$9)+$I$10+$I$18</f>
        <v>-189819.59895313275</v>
      </c>
      <c r="J795" s="37">
        <f ca="1">(RANDBETWEEN($E$14,$F$14)*$J$9)+$J$10+$J$18</f>
        <v>-9238.8910066427197</v>
      </c>
      <c r="K795" s="37">
        <f ca="1">(RANDBETWEEN($E$14,$F$14)*$K$9)+$K$10+$K$18</f>
        <v>24363.532183028292</v>
      </c>
      <c r="L795" s="37">
        <f ca="1">(RANDBETWEEN($E$14,$F$14)*$L$9)+$L$10+$L$18</f>
        <v>671221.40421803342</v>
      </c>
      <c r="M795" s="37">
        <f ca="1">(RANDBETWEEN($E$14,$F$14)*$M$9)+$M$10+$M$18</f>
        <v>1043245.7659826493</v>
      </c>
      <c r="N795" s="37">
        <f t="shared" ref="N795" ca="1" si="760">NPV($E$23+$F$23,H795:M795)+$H$4</f>
        <v>912107.22314112843</v>
      </c>
    </row>
    <row r="796" spans="4:17" x14ac:dyDescent="0.25">
      <c r="D796" s="33"/>
      <c r="E796" s="33">
        <v>766</v>
      </c>
      <c r="F796" s="37"/>
      <c r="G796" s="37"/>
      <c r="H796" s="37">
        <f t="shared" ref="H796:H1031" si="761">$H$16</f>
        <v>868800</v>
      </c>
      <c r="I796" s="37">
        <f ca="1">(RANDBETWEEN($E$14,$F$14)*$I$9)+$I$10+$I$18</f>
        <v>-189819.59895313275</v>
      </c>
      <c r="J796" s="37">
        <f ca="1">(RANDBETWEEN($E$14,$F$14)*$J$9)+$J$10+$J$18</f>
        <v>-9238.8910066427197</v>
      </c>
      <c r="K796" s="37">
        <f ca="1">(RANDBETWEEN($E$14,$F$14)*$K$9)+$K$10+$K$18</f>
        <v>260393.25392346107</v>
      </c>
      <c r="L796" s="37">
        <f ca="1">(RANDBETWEEN($E$14,$F$14)*$L$9)+$L$10+$L$18</f>
        <v>671221.40421803342</v>
      </c>
      <c r="M796" s="37">
        <f ca="1">(RANDBETWEEN($E$14,$F$14)*$M$9)+$M$10+$M$18</f>
        <v>1043245.7659826493</v>
      </c>
      <c r="N796" s="37">
        <f t="shared" ref="N796" ca="1" si="762">NPV($E$23+$F$23,H796:M796)+$H$4</f>
        <v>1106289.4593414213</v>
      </c>
    </row>
    <row r="797" spans="4:17" x14ac:dyDescent="0.25">
      <c r="D797" s="33"/>
      <c r="E797" s="33">
        <v>767</v>
      </c>
      <c r="F797" s="37"/>
      <c r="G797" s="37"/>
      <c r="H797" s="37">
        <f t="shared" si="761"/>
        <v>868800</v>
      </c>
      <c r="I797" s="37">
        <f ca="1">(RANDBETWEEN($E$14,$F$14)*$I$9)+$I$10+$I$18</f>
        <v>-369472.96408399101</v>
      </c>
      <c r="J797" s="37">
        <f ca="1">(RANDBETWEEN($E$14,$F$14)*$J$9)+$J$10+$J$18</f>
        <v>-9238.8910066427197</v>
      </c>
      <c r="K797" s="37">
        <f ca="1">(RANDBETWEEN($E$14,$F$14)*$K$9)+$K$10+$K$18</f>
        <v>24363.532183028292</v>
      </c>
      <c r="L797" s="37">
        <f ca="1">(RANDBETWEEN($E$14,$F$14)*$L$9)+$L$10+$L$18</f>
        <v>671221.40421803342</v>
      </c>
      <c r="M797" s="37">
        <f ca="1">(RANDBETWEEN($E$14,$F$14)*$M$9)+$M$10+$M$18</f>
        <v>1043245.7659826493</v>
      </c>
      <c r="N797" s="37">
        <f t="shared" ref="N797" ca="1" si="763">NPV($E$23+$F$23,H797:M797)+$H$4</f>
        <v>749156.32506325236</v>
      </c>
    </row>
    <row r="798" spans="4:17" x14ac:dyDescent="0.25">
      <c r="D798" s="33"/>
      <c r="E798" s="33">
        <v>768</v>
      </c>
      <c r="F798" s="37"/>
      <c r="G798" s="37"/>
      <c r="H798" s="37">
        <f t="shared" si="761"/>
        <v>868800</v>
      </c>
      <c r="I798" s="37">
        <f ca="1">(RANDBETWEEN($E$14,$F$14)*$I$9)+$I$10+$I$18</f>
        <v>-369472.96408399101</v>
      </c>
      <c r="J798" s="37">
        <f ca="1">(RANDBETWEEN($E$14,$F$14)*$J$9)+$J$10+$J$18</f>
        <v>221933.48456383706</v>
      </c>
      <c r="K798" s="37">
        <f ca="1">(RANDBETWEEN($E$14,$F$14)*$K$9)+$K$10+$K$18</f>
        <v>260393.25392346107</v>
      </c>
      <c r="L798" s="37">
        <f ca="1">(RANDBETWEEN($E$14,$F$14)*$L$9)+$L$10+$L$18</f>
        <v>671221.40421803342</v>
      </c>
      <c r="M798" s="37">
        <f ca="1">(RANDBETWEEN($E$14,$F$14)*$M$9)+$M$10+$M$18</f>
        <v>1424944.0925515993</v>
      </c>
      <c r="N798" s="37">
        <f t="shared" ref="N798" ca="1" si="764">NPV($E$23+$F$23,H798:M798)+$H$4</f>
        <v>1427863.1191793513</v>
      </c>
    </row>
    <row r="799" spans="4:17" x14ac:dyDescent="0.25">
      <c r="D799" s="33"/>
      <c r="E799" s="33">
        <v>769</v>
      </c>
      <c r="F799" s="37"/>
      <c r="G799" s="37"/>
      <c r="H799" s="37">
        <f t="shared" si="761"/>
        <v>868800</v>
      </c>
      <c r="I799" s="37">
        <f ca="1">(RANDBETWEEN($E$14,$F$14)*$I$9)+$I$10+$I$18</f>
        <v>-189819.59895313275</v>
      </c>
      <c r="J799" s="37">
        <f ca="1">(RANDBETWEEN($E$14,$F$14)*$J$9)+$J$10+$J$18</f>
        <v>-9238.8910066427197</v>
      </c>
      <c r="K799" s="37">
        <f ca="1">(RANDBETWEEN($E$14,$F$14)*$K$9)+$K$10+$K$18</f>
        <v>24363.532183028292</v>
      </c>
      <c r="L799" s="37">
        <f ca="1">(RANDBETWEEN($E$14,$F$14)*$L$9)+$L$10+$L$18</f>
        <v>999716.39339203853</v>
      </c>
      <c r="M799" s="37">
        <f ca="1">(RANDBETWEEN($E$14,$F$14)*$M$9)+$M$10+$M$18</f>
        <v>1043245.7659826493</v>
      </c>
      <c r="N799" s="37">
        <f t="shared" ref="N799" ca="1" si="765">NPV($E$23+$F$23,H799:M799)+$H$4</f>
        <v>1169491.6427127346</v>
      </c>
    </row>
    <row r="800" spans="4:17" x14ac:dyDescent="0.25">
      <c r="D800" s="33"/>
      <c r="E800" s="33">
        <v>770</v>
      </c>
      <c r="F800" s="37"/>
      <c r="G800" s="37"/>
      <c r="H800" s="37">
        <f t="shared" si="761"/>
        <v>868800</v>
      </c>
      <c r="I800" s="37">
        <f ca="1">(RANDBETWEEN($E$14,$F$14)*$I$9)+$I$10+$I$18</f>
        <v>-369472.96408399101</v>
      </c>
      <c r="J800" s="37">
        <f ca="1">(RANDBETWEEN($E$14,$F$14)*$J$9)+$J$10+$J$18</f>
        <v>-9238.8910066427197</v>
      </c>
      <c r="K800" s="37">
        <f ca="1">(RANDBETWEEN($E$14,$F$14)*$K$9)+$K$10+$K$18</f>
        <v>260393.25392346107</v>
      </c>
      <c r="L800" s="37">
        <f ca="1">(RANDBETWEEN($E$14,$F$14)*$L$9)+$L$10+$L$18</f>
        <v>671221.40421803342</v>
      </c>
      <c r="M800" s="37">
        <f ca="1">(RANDBETWEEN($E$14,$F$14)*$M$9)+$M$10+$M$18</f>
        <v>1043245.7659826493</v>
      </c>
      <c r="N800" s="37">
        <f t="shared" ref="N800" ca="1" si="766">NPV($E$23+$F$23,H800:M800)+$H$4</f>
        <v>943338.56126354542</v>
      </c>
    </row>
    <row r="801" spans="4:17" x14ac:dyDescent="0.25">
      <c r="D801" s="33"/>
      <c r="E801" s="33">
        <v>771</v>
      </c>
      <c r="F801" s="37"/>
      <c r="G801" s="37"/>
      <c r="H801" s="37">
        <f t="shared" si="761"/>
        <v>868800</v>
      </c>
      <c r="I801" s="37">
        <f ca="1">(RANDBETWEEN($E$14,$F$14)*$I$9)+$I$10+$I$18</f>
        <v>-369472.96408399101</v>
      </c>
      <c r="J801" s="37">
        <f ca="1">(RANDBETWEEN($E$14,$F$14)*$J$9)+$J$10+$J$18</f>
        <v>221933.48456383706</v>
      </c>
      <c r="K801" s="37">
        <f ca="1">(RANDBETWEEN($E$14,$F$14)*$K$9)+$K$10+$K$18</f>
        <v>260393.25392346107</v>
      </c>
      <c r="L801" s="37">
        <f ca="1">(RANDBETWEEN($E$14,$F$14)*$L$9)+$L$10+$L$18</f>
        <v>671221.40421803342</v>
      </c>
      <c r="M801" s="37">
        <f ca="1">(RANDBETWEEN($E$14,$F$14)*$M$9)+$M$10+$M$18</f>
        <v>1043245.7659826493</v>
      </c>
      <c r="N801" s="37">
        <f t="shared" ref="N801" ca="1" si="767">NPV($E$23+$F$23,H801:M801)+$H$4</f>
        <v>1143033.9510231656</v>
      </c>
      <c r="Q801" s="37"/>
    </row>
    <row r="802" spans="4:17" x14ac:dyDescent="0.25">
      <c r="D802" s="33"/>
      <c r="E802" s="33">
        <v>772</v>
      </c>
      <c r="F802" s="37"/>
      <c r="G802" s="37"/>
      <c r="H802" s="37">
        <f t="shared" si="761"/>
        <v>868800</v>
      </c>
      <c r="I802" s="37">
        <f ca="1">(RANDBETWEEN($E$14,$F$14)*$I$9)+$I$10+$I$18</f>
        <v>-189819.59895313275</v>
      </c>
      <c r="J802" s="37">
        <f ca="1">(RANDBETWEEN($E$14,$F$14)*$J$9)+$J$10+$J$18</f>
        <v>-9238.8910066427197</v>
      </c>
      <c r="K802" s="37">
        <f ca="1">(RANDBETWEEN($E$14,$F$14)*$K$9)+$K$10+$K$18</f>
        <v>260393.25392346107</v>
      </c>
      <c r="L802" s="37">
        <f ca="1">(RANDBETWEEN($E$14,$F$14)*$L$9)+$L$10+$L$18</f>
        <v>671221.40421803342</v>
      </c>
      <c r="M802" s="37">
        <f ca="1">(RANDBETWEEN($E$14,$F$14)*$M$9)+$M$10+$M$18</f>
        <v>1043245.7659826493</v>
      </c>
      <c r="N802" s="37">
        <f t="shared" ref="N802" ca="1" si="768">NPV($E$23+$F$23,H802:M802)+$H$4</f>
        <v>1106289.4593414213</v>
      </c>
    </row>
    <row r="803" spans="4:17" x14ac:dyDescent="0.25">
      <c r="D803" s="33"/>
      <c r="E803" s="33">
        <v>773</v>
      </c>
      <c r="F803" s="37"/>
      <c r="G803" s="37"/>
      <c r="H803" s="37">
        <f t="shared" si="761"/>
        <v>868800</v>
      </c>
      <c r="I803" s="37">
        <f ca="1">(RANDBETWEEN($E$14,$F$14)*$I$9)+$I$10+$I$18</f>
        <v>-369472.96408399101</v>
      </c>
      <c r="J803" s="37">
        <f ca="1">(RANDBETWEEN($E$14,$F$14)*$J$9)+$J$10+$J$18</f>
        <v>-9238.8910066427197</v>
      </c>
      <c r="K803" s="37">
        <f ca="1">(RANDBETWEEN($E$14,$F$14)*$K$9)+$K$10+$K$18</f>
        <v>260393.25392346107</v>
      </c>
      <c r="L803" s="37">
        <f ca="1">(RANDBETWEEN($E$14,$F$14)*$L$9)+$L$10+$L$18</f>
        <v>999716.39339203853</v>
      </c>
      <c r="M803" s="37">
        <f ca="1">(RANDBETWEEN($E$14,$F$14)*$M$9)+$M$10+$M$18</f>
        <v>1424944.0925515993</v>
      </c>
      <c r="N803" s="37">
        <f t="shared" ref="N803" ca="1" si="769">NPV($E$23+$F$23,H803:M803)+$H$4</f>
        <v>1485552.1489913375</v>
      </c>
    </row>
    <row r="804" spans="4:17" x14ac:dyDescent="0.25">
      <c r="D804" s="33"/>
      <c r="E804" s="33">
        <v>774</v>
      </c>
      <c r="F804" s="37"/>
      <c r="G804" s="37"/>
      <c r="H804" s="37">
        <f t="shared" si="761"/>
        <v>868800</v>
      </c>
      <c r="I804" s="37">
        <f ca="1">(RANDBETWEEN($E$14,$F$14)*$I$9)+$I$10+$I$18</f>
        <v>-189819.59895313275</v>
      </c>
      <c r="J804" s="37">
        <f ca="1">(RANDBETWEEN($E$14,$F$14)*$J$9)+$J$10+$J$18</f>
        <v>-9238.8910066427197</v>
      </c>
      <c r="K804" s="37">
        <f ca="1">(RANDBETWEEN($E$14,$F$14)*$K$9)+$K$10+$K$18</f>
        <v>24363.532183028292</v>
      </c>
      <c r="L804" s="37">
        <f ca="1">(RANDBETWEEN($E$14,$F$14)*$L$9)+$L$10+$L$18</f>
        <v>999716.39339203853</v>
      </c>
      <c r="M804" s="37">
        <f ca="1">(RANDBETWEEN($E$14,$F$14)*$M$9)+$M$10+$M$18</f>
        <v>1043245.7659826493</v>
      </c>
      <c r="N804" s="37">
        <f t="shared" ref="N804" ca="1" si="770">NPV($E$23+$F$23,H804:M804)+$H$4</f>
        <v>1169491.6427127346</v>
      </c>
      <c r="Q804" s="37"/>
    </row>
    <row r="805" spans="4:17" x14ac:dyDescent="0.25">
      <c r="D805" s="33"/>
      <c r="E805" s="33">
        <v>775</v>
      </c>
      <c r="F805" s="37"/>
      <c r="G805" s="37"/>
      <c r="H805" s="37">
        <f t="shared" si="761"/>
        <v>868800</v>
      </c>
      <c r="I805" s="37">
        <f ca="1">(RANDBETWEEN($E$14,$F$14)*$I$9)+$I$10+$I$18</f>
        <v>-369472.96408399101</v>
      </c>
      <c r="J805" s="37">
        <f ca="1">(RANDBETWEEN($E$14,$F$14)*$J$9)+$J$10+$J$18</f>
        <v>-9238.8910066427197</v>
      </c>
      <c r="K805" s="37">
        <f ca="1">(RANDBETWEEN($E$14,$F$14)*$K$9)+$K$10+$K$18</f>
        <v>24363.532183028292</v>
      </c>
      <c r="L805" s="37">
        <f ca="1">(RANDBETWEEN($E$14,$F$14)*$L$9)+$L$10+$L$18</f>
        <v>671221.40421803342</v>
      </c>
      <c r="M805" s="37">
        <f ca="1">(RANDBETWEEN($E$14,$F$14)*$M$9)+$M$10+$M$18</f>
        <v>1043245.7659826493</v>
      </c>
      <c r="N805" s="37">
        <f t="shared" ref="N805" ca="1" si="771">NPV($E$23+$F$23,H805:M805)+$H$4</f>
        <v>749156.32506325236</v>
      </c>
    </row>
    <row r="806" spans="4:17" x14ac:dyDescent="0.25">
      <c r="D806" s="33"/>
      <c r="E806" s="33">
        <v>776</v>
      </c>
      <c r="F806" s="37"/>
      <c r="G806" s="37"/>
      <c r="H806" s="37">
        <f t="shared" si="761"/>
        <v>868800</v>
      </c>
      <c r="I806" s="37">
        <f ca="1">(RANDBETWEEN($E$14,$F$14)*$I$9)+$I$10+$I$18</f>
        <v>-189819.59895313275</v>
      </c>
      <c r="J806" s="37">
        <f ca="1">(RANDBETWEEN($E$14,$F$14)*$J$9)+$J$10+$J$18</f>
        <v>-9238.8910066427197</v>
      </c>
      <c r="K806" s="37">
        <f ca="1">(RANDBETWEEN($E$14,$F$14)*$K$9)+$K$10+$K$18</f>
        <v>24363.532183028292</v>
      </c>
      <c r="L806" s="37">
        <f ca="1">(RANDBETWEEN($E$14,$F$14)*$L$9)+$L$10+$L$18</f>
        <v>999716.39339203853</v>
      </c>
      <c r="M806" s="37">
        <f ca="1">(RANDBETWEEN($E$14,$F$14)*$M$9)+$M$10+$M$18</f>
        <v>1043245.7659826493</v>
      </c>
      <c r="N806" s="37">
        <f t="shared" ref="N806" ca="1" si="772">NPV($E$23+$F$23,H806:M806)+$H$4</f>
        <v>1169491.6427127346</v>
      </c>
    </row>
    <row r="807" spans="4:17" x14ac:dyDescent="0.25">
      <c r="D807" s="33"/>
      <c r="E807" s="33">
        <v>777</v>
      </c>
      <c r="F807" s="37"/>
      <c r="G807" s="37"/>
      <c r="H807" s="37">
        <f t="shared" si="761"/>
        <v>868800</v>
      </c>
      <c r="I807" s="37">
        <f ca="1">(RANDBETWEEN($E$14,$F$14)*$I$9)+$I$10+$I$18</f>
        <v>-189819.59895313275</v>
      </c>
      <c r="J807" s="37">
        <f ca="1">(RANDBETWEEN($E$14,$F$14)*$J$9)+$J$10+$J$18</f>
        <v>-9238.8910066427197</v>
      </c>
      <c r="K807" s="37">
        <f ca="1">(RANDBETWEEN($E$14,$F$14)*$K$9)+$K$10+$K$18</f>
        <v>260393.25392346107</v>
      </c>
      <c r="L807" s="37">
        <f ca="1">(RANDBETWEEN($E$14,$F$14)*$L$9)+$L$10+$L$18</f>
        <v>671221.40421803342</v>
      </c>
      <c r="M807" s="37">
        <f ca="1">(RANDBETWEEN($E$14,$F$14)*$M$9)+$M$10+$M$18</f>
        <v>1043245.7659826493</v>
      </c>
      <c r="N807" s="37">
        <f t="shared" ref="N807" ca="1" si="773">NPV($E$23+$F$23,H807:M807)+$H$4</f>
        <v>1106289.4593414213</v>
      </c>
    </row>
    <row r="808" spans="4:17" x14ac:dyDescent="0.25">
      <c r="D808" s="33"/>
      <c r="E808" s="33">
        <v>778</v>
      </c>
      <c r="F808" s="37"/>
      <c r="G808" s="37"/>
      <c r="H808" s="37">
        <f t="shared" si="761"/>
        <v>868800</v>
      </c>
      <c r="I808" s="37">
        <f ca="1">(RANDBETWEEN($E$14,$F$14)*$I$9)+$I$10+$I$18</f>
        <v>-189819.59895313275</v>
      </c>
      <c r="J808" s="37">
        <f ca="1">(RANDBETWEEN($E$14,$F$14)*$J$9)+$J$10+$J$18</f>
        <v>221933.48456383706</v>
      </c>
      <c r="K808" s="37">
        <f ca="1">(RANDBETWEEN($E$14,$F$14)*$K$9)+$K$10+$K$18</f>
        <v>260393.25392346107</v>
      </c>
      <c r="L808" s="37">
        <f ca="1">(RANDBETWEEN($E$14,$F$14)*$L$9)+$L$10+$L$18</f>
        <v>999716.39339203853</v>
      </c>
      <c r="M808" s="37">
        <f ca="1">(RANDBETWEEN($E$14,$F$14)*$M$9)+$M$10+$M$18</f>
        <v>1043245.7659826493</v>
      </c>
      <c r="N808" s="37">
        <f t="shared" ref="N808" ca="1" si="774">NPV($E$23+$F$23,H808:M808)+$H$4</f>
        <v>1563369.2686726474</v>
      </c>
    </row>
    <row r="809" spans="4:17" x14ac:dyDescent="0.25">
      <c r="D809" s="33"/>
      <c r="E809" s="33">
        <v>779</v>
      </c>
      <c r="F809" s="37"/>
      <c r="G809" s="37"/>
      <c r="H809" s="37">
        <f t="shared" si="761"/>
        <v>868800</v>
      </c>
      <c r="I809" s="37">
        <f ca="1">(RANDBETWEEN($E$14,$F$14)*$I$9)+$I$10+$I$18</f>
        <v>-369472.96408399101</v>
      </c>
      <c r="J809" s="37">
        <f ca="1">(RANDBETWEEN($E$14,$F$14)*$J$9)+$J$10+$J$18</f>
        <v>221933.48456383706</v>
      </c>
      <c r="K809" s="37">
        <f ca="1">(RANDBETWEEN($E$14,$F$14)*$K$9)+$K$10+$K$18</f>
        <v>24363.532183028292</v>
      </c>
      <c r="L809" s="37">
        <f ca="1">(RANDBETWEEN($E$14,$F$14)*$L$9)+$L$10+$L$18</f>
        <v>671221.40421803342</v>
      </c>
      <c r="M809" s="37">
        <f ca="1">(RANDBETWEEN($E$14,$F$14)*$M$9)+$M$10+$M$18</f>
        <v>1424944.0925515993</v>
      </c>
      <c r="N809" s="37">
        <f t="shared" ref="N809" ca="1" si="775">NPV($E$23+$F$23,H809:M809)+$H$4</f>
        <v>1233680.8829790577</v>
      </c>
      <c r="Q809" s="37"/>
    </row>
    <row r="810" spans="4:17" x14ac:dyDescent="0.25">
      <c r="D810" s="33"/>
      <c r="E810" s="33">
        <v>780</v>
      </c>
      <c r="F810" s="37"/>
      <c r="G810" s="37"/>
      <c r="H810" s="37">
        <f t="shared" si="761"/>
        <v>868800</v>
      </c>
      <c r="I810" s="37">
        <f ca="1">(RANDBETWEEN($E$14,$F$14)*$I$9)+$I$10+$I$18</f>
        <v>-369472.96408399101</v>
      </c>
      <c r="J810" s="37">
        <f ca="1">(RANDBETWEEN($E$14,$F$14)*$J$9)+$J$10+$J$18</f>
        <v>221933.48456383706</v>
      </c>
      <c r="K810" s="37">
        <f ca="1">(RANDBETWEEN($E$14,$F$14)*$K$9)+$K$10+$K$18</f>
        <v>24363.532183028292</v>
      </c>
      <c r="L810" s="37">
        <f ca="1">(RANDBETWEEN($E$14,$F$14)*$L$9)+$L$10+$L$18</f>
        <v>671221.40421803342</v>
      </c>
      <c r="M810" s="37">
        <f ca="1">(RANDBETWEEN($E$14,$F$14)*$M$9)+$M$10+$M$18</f>
        <v>1424944.0925515993</v>
      </c>
      <c r="N810" s="37">
        <f t="shared" ref="N810" ca="1" si="776">NPV($E$23+$F$23,H810:M810)+$H$4</f>
        <v>1233680.8829790577</v>
      </c>
    </row>
    <row r="811" spans="4:17" x14ac:dyDescent="0.25">
      <c r="D811" s="33"/>
      <c r="E811" s="33">
        <v>781</v>
      </c>
      <c r="F811" s="37"/>
      <c r="G811" s="37"/>
      <c r="H811" s="37">
        <f t="shared" si="761"/>
        <v>868800</v>
      </c>
      <c r="I811" s="37">
        <f ca="1">(RANDBETWEEN($E$14,$F$14)*$I$9)+$I$10+$I$18</f>
        <v>-189819.59895313275</v>
      </c>
      <c r="J811" s="37">
        <f ca="1">(RANDBETWEEN($E$14,$F$14)*$J$9)+$J$10+$J$18</f>
        <v>221933.48456383706</v>
      </c>
      <c r="K811" s="37">
        <f ca="1">(RANDBETWEEN($E$14,$F$14)*$K$9)+$K$10+$K$18</f>
        <v>24363.532183028292</v>
      </c>
      <c r="L811" s="37">
        <f ca="1">(RANDBETWEEN($E$14,$F$14)*$L$9)+$L$10+$L$18</f>
        <v>999716.39339203853</v>
      </c>
      <c r="M811" s="37">
        <f ca="1">(RANDBETWEEN($E$14,$F$14)*$M$9)+$M$10+$M$18</f>
        <v>1043245.7659826493</v>
      </c>
      <c r="N811" s="37">
        <f t="shared" ref="N811" ca="1" si="777">NPV($E$23+$F$23,H811:M811)+$H$4</f>
        <v>1369187.0324723539</v>
      </c>
    </row>
    <row r="812" spans="4:17" x14ac:dyDescent="0.25">
      <c r="D812" s="33"/>
      <c r="E812" s="33">
        <v>782</v>
      </c>
      <c r="F812" s="37"/>
      <c r="G812" s="37"/>
      <c r="H812" s="37">
        <f t="shared" si="761"/>
        <v>868800</v>
      </c>
      <c r="I812" s="37">
        <f ca="1">(RANDBETWEEN($E$14,$F$14)*$I$9)+$I$10+$I$18</f>
        <v>-369472.96408399101</v>
      </c>
      <c r="J812" s="37">
        <f ca="1">(RANDBETWEEN($E$14,$F$14)*$J$9)+$J$10+$J$18</f>
        <v>221933.48456383706</v>
      </c>
      <c r="K812" s="37">
        <f ca="1">(RANDBETWEEN($E$14,$F$14)*$K$9)+$K$10+$K$18</f>
        <v>260393.25392346107</v>
      </c>
      <c r="L812" s="37">
        <f ca="1">(RANDBETWEEN($E$14,$F$14)*$L$9)+$L$10+$L$18</f>
        <v>999716.39339203853</v>
      </c>
      <c r="M812" s="37">
        <f ca="1">(RANDBETWEEN($E$14,$F$14)*$M$9)+$M$10+$M$18</f>
        <v>1043245.7659826493</v>
      </c>
      <c r="N812" s="37">
        <f t="shared" ref="N812" ca="1" si="778">NPV($E$23+$F$23,H812:M812)+$H$4</f>
        <v>1400418.3705947716</v>
      </c>
    </row>
    <row r="813" spans="4:17" x14ac:dyDescent="0.25">
      <c r="D813" s="33"/>
      <c r="E813" s="33">
        <v>783</v>
      </c>
      <c r="F813" s="37"/>
      <c r="G813" s="37"/>
      <c r="H813" s="37">
        <f t="shared" si="761"/>
        <v>868800</v>
      </c>
      <c r="I813" s="37">
        <f ca="1">(RANDBETWEEN($E$14,$F$14)*$I$9)+$I$10+$I$18</f>
        <v>-369472.96408399101</v>
      </c>
      <c r="J813" s="37">
        <f ca="1">(RANDBETWEEN($E$14,$F$14)*$J$9)+$J$10+$J$18</f>
        <v>-9238.8910066427197</v>
      </c>
      <c r="K813" s="37">
        <f ca="1">(RANDBETWEEN($E$14,$F$14)*$K$9)+$K$10+$K$18</f>
        <v>24363.532183028292</v>
      </c>
      <c r="L813" s="37">
        <f ca="1">(RANDBETWEEN($E$14,$F$14)*$L$9)+$L$10+$L$18</f>
        <v>671221.40421803342</v>
      </c>
      <c r="M813" s="37">
        <f ca="1">(RANDBETWEEN($E$14,$F$14)*$M$9)+$M$10+$M$18</f>
        <v>1043245.7659826493</v>
      </c>
      <c r="N813" s="37">
        <f t="shared" ref="N813" ca="1" si="779">NPV($E$23+$F$23,H813:M813)+$H$4</f>
        <v>749156.32506325236</v>
      </c>
      <c r="Q813" s="37"/>
    </row>
    <row r="814" spans="4:17" x14ac:dyDescent="0.25">
      <c r="D814" s="33"/>
      <c r="E814" s="33">
        <v>784</v>
      </c>
      <c r="F814" s="37"/>
      <c r="G814" s="37"/>
      <c r="H814" s="37">
        <f t="shared" si="761"/>
        <v>868800</v>
      </c>
      <c r="I814" s="37">
        <f ca="1">(RANDBETWEEN($E$14,$F$14)*$I$9)+$I$10+$I$18</f>
        <v>-369472.96408399101</v>
      </c>
      <c r="J814" s="37">
        <f ca="1">(RANDBETWEEN($E$14,$F$14)*$J$9)+$J$10+$J$18</f>
        <v>221933.48456383706</v>
      </c>
      <c r="K814" s="37">
        <f ca="1">(RANDBETWEEN($E$14,$F$14)*$K$9)+$K$10+$K$18</f>
        <v>24363.532183028292</v>
      </c>
      <c r="L814" s="37">
        <f ca="1">(RANDBETWEEN($E$14,$F$14)*$L$9)+$L$10+$L$18</f>
        <v>671221.40421803342</v>
      </c>
      <c r="M814" s="37">
        <f ca="1">(RANDBETWEEN($E$14,$F$14)*$M$9)+$M$10+$M$18</f>
        <v>1424944.0925515993</v>
      </c>
      <c r="N814" s="37">
        <f t="shared" ref="N814" ca="1" si="780">NPV($E$23+$F$23,H814:M814)+$H$4</f>
        <v>1233680.8829790577</v>
      </c>
    </row>
    <row r="815" spans="4:17" x14ac:dyDescent="0.25">
      <c r="D815" s="33"/>
      <c r="E815" s="33">
        <v>785</v>
      </c>
      <c r="F815" s="37"/>
      <c r="G815" s="37"/>
      <c r="H815" s="37">
        <f t="shared" si="761"/>
        <v>868800</v>
      </c>
      <c r="I815" s="37">
        <f ca="1">(RANDBETWEEN($E$14,$F$14)*$I$9)+$I$10+$I$18</f>
        <v>-369472.96408399101</v>
      </c>
      <c r="J815" s="37">
        <f ca="1">(RANDBETWEEN($E$14,$F$14)*$J$9)+$J$10+$J$18</f>
        <v>221933.48456383706</v>
      </c>
      <c r="K815" s="37">
        <f ca="1">(RANDBETWEEN($E$14,$F$14)*$K$9)+$K$10+$K$18</f>
        <v>24363.532183028292</v>
      </c>
      <c r="L815" s="37">
        <f ca="1">(RANDBETWEEN($E$14,$F$14)*$L$9)+$L$10+$L$18</f>
        <v>671221.40421803342</v>
      </c>
      <c r="M815" s="37">
        <f ca="1">(RANDBETWEEN($E$14,$F$14)*$M$9)+$M$10+$M$18</f>
        <v>1424944.0925515993</v>
      </c>
      <c r="N815" s="37">
        <f t="shared" ref="N815" ca="1" si="781">NPV($E$23+$F$23,H815:M815)+$H$4</f>
        <v>1233680.8829790577</v>
      </c>
    </row>
    <row r="816" spans="4:17" x14ac:dyDescent="0.25">
      <c r="D816" s="33"/>
      <c r="E816" s="33">
        <v>786</v>
      </c>
      <c r="F816" s="37"/>
      <c r="G816" s="37"/>
      <c r="H816" s="37">
        <f t="shared" si="761"/>
        <v>868800</v>
      </c>
      <c r="I816" s="37">
        <f ca="1">(RANDBETWEEN($E$14,$F$14)*$I$9)+$I$10+$I$18</f>
        <v>-369472.96408399101</v>
      </c>
      <c r="J816" s="37">
        <f ca="1">(RANDBETWEEN($E$14,$F$14)*$J$9)+$J$10+$J$18</f>
        <v>-9238.8910066427197</v>
      </c>
      <c r="K816" s="37">
        <f ca="1">(RANDBETWEEN($E$14,$F$14)*$K$9)+$K$10+$K$18</f>
        <v>260393.25392346107</v>
      </c>
      <c r="L816" s="37">
        <f ca="1">(RANDBETWEEN($E$14,$F$14)*$L$9)+$L$10+$L$18</f>
        <v>999716.39339203853</v>
      </c>
      <c r="M816" s="37">
        <f ca="1">(RANDBETWEEN($E$14,$F$14)*$M$9)+$M$10+$M$18</f>
        <v>1424944.0925515993</v>
      </c>
      <c r="N816" s="37">
        <f t="shared" ref="N816" ca="1" si="782">NPV($E$23+$F$23,H816:M816)+$H$4</f>
        <v>1485552.1489913375</v>
      </c>
    </row>
    <row r="817" spans="4:17" x14ac:dyDescent="0.25">
      <c r="D817" s="33"/>
      <c r="E817" s="33">
        <v>787</v>
      </c>
      <c r="F817" s="37"/>
      <c r="G817" s="37"/>
      <c r="H817" s="37">
        <f t="shared" si="761"/>
        <v>868800</v>
      </c>
      <c r="I817" s="37">
        <f ca="1">(RANDBETWEEN($E$14,$F$14)*$I$9)+$I$10+$I$18</f>
        <v>-189819.59895313275</v>
      </c>
      <c r="J817" s="37">
        <f ca="1">(RANDBETWEEN($E$14,$F$14)*$J$9)+$J$10+$J$18</f>
        <v>-9238.8910066427197</v>
      </c>
      <c r="K817" s="37">
        <f ca="1">(RANDBETWEEN($E$14,$F$14)*$K$9)+$K$10+$K$18</f>
        <v>260393.25392346107</v>
      </c>
      <c r="L817" s="37">
        <f ca="1">(RANDBETWEEN($E$14,$F$14)*$L$9)+$L$10+$L$18</f>
        <v>671221.40421803342</v>
      </c>
      <c r="M817" s="37">
        <f ca="1">(RANDBETWEEN($E$14,$F$14)*$M$9)+$M$10+$M$18</f>
        <v>1424944.0925515993</v>
      </c>
      <c r="N817" s="37">
        <f t="shared" ref="N817" ca="1" si="783">NPV($E$23+$F$23,H817:M817)+$H$4</f>
        <v>1391118.6274976074</v>
      </c>
    </row>
    <row r="818" spans="4:17" x14ac:dyDescent="0.25">
      <c r="D818" s="33"/>
      <c r="E818" s="33">
        <v>788</v>
      </c>
      <c r="F818" s="37"/>
      <c r="G818" s="37"/>
      <c r="H818" s="37">
        <f t="shared" si="761"/>
        <v>868800</v>
      </c>
      <c r="I818" s="37">
        <f ca="1">(RANDBETWEEN($E$14,$F$14)*$I$9)+$I$10+$I$18</f>
        <v>-369472.96408399101</v>
      </c>
      <c r="J818" s="37">
        <f ca="1">(RANDBETWEEN($E$14,$F$14)*$J$9)+$J$10+$J$18</f>
        <v>-9238.8910066427197</v>
      </c>
      <c r="K818" s="37">
        <f ca="1">(RANDBETWEEN($E$14,$F$14)*$K$9)+$K$10+$K$18</f>
        <v>24363.532183028292</v>
      </c>
      <c r="L818" s="37">
        <f ca="1">(RANDBETWEEN($E$14,$F$14)*$L$9)+$L$10+$L$18</f>
        <v>999716.39339203853</v>
      </c>
      <c r="M818" s="37">
        <f ca="1">(RANDBETWEEN($E$14,$F$14)*$M$9)+$M$10+$M$18</f>
        <v>1424944.0925515993</v>
      </c>
      <c r="N818" s="37">
        <f t="shared" ref="N818" ca="1" si="784">NPV($E$23+$F$23,H818:M818)+$H$4</f>
        <v>1291369.9127910445</v>
      </c>
    </row>
    <row r="819" spans="4:17" x14ac:dyDescent="0.25">
      <c r="D819" s="33"/>
      <c r="E819" s="33">
        <v>789</v>
      </c>
      <c r="F819" s="37"/>
      <c r="G819" s="37"/>
      <c r="H819" s="37">
        <f t="shared" si="761"/>
        <v>868800</v>
      </c>
      <c r="I819" s="37">
        <f ca="1">(RANDBETWEEN($E$14,$F$14)*$I$9)+$I$10+$I$18</f>
        <v>-369472.96408399101</v>
      </c>
      <c r="J819" s="37">
        <f ca="1">(RANDBETWEEN($E$14,$F$14)*$J$9)+$J$10+$J$18</f>
        <v>-9238.8910066427197</v>
      </c>
      <c r="K819" s="37">
        <f ca="1">(RANDBETWEEN($E$14,$F$14)*$K$9)+$K$10+$K$18</f>
        <v>24363.532183028292</v>
      </c>
      <c r="L819" s="37">
        <f ca="1">(RANDBETWEEN($E$14,$F$14)*$L$9)+$L$10+$L$18</f>
        <v>671221.40421803342</v>
      </c>
      <c r="M819" s="37">
        <f ca="1">(RANDBETWEEN($E$14,$F$14)*$M$9)+$M$10+$M$18</f>
        <v>1424944.0925515993</v>
      </c>
      <c r="N819" s="37">
        <f t="shared" ref="N819" ca="1" si="785">NPV($E$23+$F$23,H819:M819)+$H$4</f>
        <v>1033985.4932194382</v>
      </c>
    </row>
    <row r="820" spans="4:17" x14ac:dyDescent="0.25">
      <c r="D820" s="33"/>
      <c r="E820" s="33">
        <v>790</v>
      </c>
      <c r="F820" s="37"/>
      <c r="G820" s="37"/>
      <c r="H820" s="37">
        <f t="shared" si="761"/>
        <v>868800</v>
      </c>
      <c r="I820" s="37">
        <f ca="1">(RANDBETWEEN($E$14,$F$14)*$I$9)+$I$10+$I$18</f>
        <v>-369472.96408399101</v>
      </c>
      <c r="J820" s="37">
        <f ca="1">(RANDBETWEEN($E$14,$F$14)*$J$9)+$J$10+$J$18</f>
        <v>-9238.8910066427197</v>
      </c>
      <c r="K820" s="37">
        <f ca="1">(RANDBETWEEN($E$14,$F$14)*$K$9)+$K$10+$K$18</f>
        <v>24363.532183028292</v>
      </c>
      <c r="L820" s="37">
        <f ca="1">(RANDBETWEEN($E$14,$F$14)*$L$9)+$L$10+$L$18</f>
        <v>671221.40421803342</v>
      </c>
      <c r="M820" s="37">
        <f ca="1">(RANDBETWEEN($E$14,$F$14)*$M$9)+$M$10+$M$18</f>
        <v>1043245.7659826493</v>
      </c>
      <c r="N820" s="37">
        <f t="shared" ref="N820" ca="1" si="786">NPV($E$23+$F$23,H820:M820)+$H$4</f>
        <v>749156.32506325236</v>
      </c>
    </row>
    <row r="821" spans="4:17" x14ac:dyDescent="0.25">
      <c r="D821" s="33"/>
      <c r="E821" s="33">
        <v>791</v>
      </c>
      <c r="F821" s="37"/>
      <c r="G821" s="37"/>
      <c r="H821" s="37">
        <f t="shared" si="761"/>
        <v>868800</v>
      </c>
      <c r="I821" s="37">
        <f ca="1">(RANDBETWEEN($E$14,$F$14)*$I$9)+$I$10+$I$18</f>
        <v>-369472.96408399101</v>
      </c>
      <c r="J821" s="37">
        <f ca="1">(RANDBETWEEN($E$14,$F$14)*$J$9)+$J$10+$J$18</f>
        <v>-9238.8910066427197</v>
      </c>
      <c r="K821" s="37">
        <f ca="1">(RANDBETWEEN($E$14,$F$14)*$K$9)+$K$10+$K$18</f>
        <v>24363.532183028292</v>
      </c>
      <c r="L821" s="37">
        <f ca="1">(RANDBETWEEN($E$14,$F$14)*$L$9)+$L$10+$L$18</f>
        <v>999716.39339203853</v>
      </c>
      <c r="M821" s="37">
        <f ca="1">(RANDBETWEEN($E$14,$F$14)*$M$9)+$M$10+$M$18</f>
        <v>1424944.0925515993</v>
      </c>
      <c r="N821" s="37">
        <f t="shared" ref="N821" ca="1" si="787">NPV($E$23+$F$23,H821:M821)+$H$4</f>
        <v>1291369.9127910445</v>
      </c>
    </row>
    <row r="822" spans="4:17" x14ac:dyDescent="0.25">
      <c r="D822" s="33"/>
      <c r="E822" s="33">
        <v>792</v>
      </c>
      <c r="F822" s="37"/>
      <c r="G822" s="37"/>
      <c r="H822" s="37">
        <f t="shared" si="761"/>
        <v>868800</v>
      </c>
      <c r="I822" s="37">
        <f ca="1">(RANDBETWEEN($E$14,$F$14)*$I$9)+$I$10+$I$18</f>
        <v>-369472.96408399101</v>
      </c>
      <c r="J822" s="37">
        <f ca="1">(RANDBETWEEN($E$14,$F$14)*$J$9)+$J$10+$J$18</f>
        <v>221933.48456383706</v>
      </c>
      <c r="K822" s="37">
        <f ca="1">(RANDBETWEEN($E$14,$F$14)*$K$9)+$K$10+$K$18</f>
        <v>24363.532183028292</v>
      </c>
      <c r="L822" s="37">
        <f ca="1">(RANDBETWEEN($E$14,$F$14)*$L$9)+$L$10+$L$18</f>
        <v>671221.40421803342</v>
      </c>
      <c r="M822" s="37">
        <f ca="1">(RANDBETWEEN($E$14,$F$14)*$M$9)+$M$10+$M$18</f>
        <v>1424944.0925515993</v>
      </c>
      <c r="N822" s="37">
        <f t="shared" ref="N822" ca="1" si="788">NPV($E$23+$F$23,H822:M822)+$H$4</f>
        <v>1233680.8829790577</v>
      </c>
    </row>
    <row r="823" spans="4:17" x14ac:dyDescent="0.25">
      <c r="D823" s="33"/>
      <c r="E823" s="33">
        <v>793</v>
      </c>
      <c r="F823" s="37"/>
      <c r="G823" s="37"/>
      <c r="H823" s="37">
        <f t="shared" si="761"/>
        <v>868800</v>
      </c>
      <c r="I823" s="37">
        <f ca="1">(RANDBETWEEN($E$14,$F$14)*$I$9)+$I$10+$I$18</f>
        <v>-369472.96408399101</v>
      </c>
      <c r="J823" s="37">
        <f ca="1">(RANDBETWEEN($E$14,$F$14)*$J$9)+$J$10+$J$18</f>
        <v>-9238.8910066427197</v>
      </c>
      <c r="K823" s="37">
        <f ca="1">(RANDBETWEEN($E$14,$F$14)*$K$9)+$K$10+$K$18</f>
        <v>24363.532183028292</v>
      </c>
      <c r="L823" s="37">
        <f ca="1">(RANDBETWEEN($E$14,$F$14)*$L$9)+$L$10+$L$18</f>
        <v>671221.40421803342</v>
      </c>
      <c r="M823" s="37">
        <f ca="1">(RANDBETWEEN($E$14,$F$14)*$M$9)+$M$10+$M$18</f>
        <v>1043245.7659826493</v>
      </c>
      <c r="N823" s="37">
        <f t="shared" ref="N823" ca="1" si="789">NPV($E$23+$F$23,H823:M823)+$H$4</f>
        <v>749156.32506325236</v>
      </c>
    </row>
    <row r="824" spans="4:17" x14ac:dyDescent="0.25">
      <c r="D824" s="33"/>
      <c r="E824" s="33">
        <v>794</v>
      </c>
      <c r="F824" s="37"/>
      <c r="G824" s="37"/>
      <c r="H824" s="37">
        <f t="shared" si="761"/>
        <v>868800</v>
      </c>
      <c r="I824" s="37">
        <f ca="1">(RANDBETWEEN($E$14,$F$14)*$I$9)+$I$10+$I$18</f>
        <v>-369472.96408399101</v>
      </c>
      <c r="J824" s="37">
        <f ca="1">(RANDBETWEEN($E$14,$F$14)*$J$9)+$J$10+$J$18</f>
        <v>-9238.8910066427197</v>
      </c>
      <c r="K824" s="37">
        <f ca="1">(RANDBETWEEN($E$14,$F$14)*$K$9)+$K$10+$K$18</f>
        <v>24363.532183028292</v>
      </c>
      <c r="L824" s="37">
        <f ca="1">(RANDBETWEEN($E$14,$F$14)*$L$9)+$L$10+$L$18</f>
        <v>999716.39339203853</v>
      </c>
      <c r="M824" s="37">
        <f ca="1">(RANDBETWEEN($E$14,$F$14)*$M$9)+$M$10+$M$18</f>
        <v>1424944.0925515993</v>
      </c>
      <c r="N824" s="37">
        <f t="shared" ref="N824" ca="1" si="790">NPV($E$23+$F$23,H824:M824)+$H$4</f>
        <v>1291369.9127910445</v>
      </c>
    </row>
    <row r="825" spans="4:17" x14ac:dyDescent="0.25">
      <c r="D825" s="33"/>
      <c r="E825" s="33">
        <v>795</v>
      </c>
      <c r="F825" s="37"/>
      <c r="G825" s="37"/>
      <c r="H825" s="37">
        <f t="shared" si="761"/>
        <v>868800</v>
      </c>
      <c r="I825" s="37">
        <f ca="1">(RANDBETWEEN($E$14,$F$14)*$I$9)+$I$10+$I$18</f>
        <v>-189819.59895313275</v>
      </c>
      <c r="J825" s="37">
        <f ca="1">(RANDBETWEEN($E$14,$F$14)*$J$9)+$J$10+$J$18</f>
        <v>221933.48456383706</v>
      </c>
      <c r="K825" s="37">
        <f ca="1">(RANDBETWEEN($E$14,$F$14)*$K$9)+$K$10+$K$18</f>
        <v>260393.25392346107</v>
      </c>
      <c r="L825" s="37">
        <f ca="1">(RANDBETWEEN($E$14,$F$14)*$L$9)+$L$10+$L$18</f>
        <v>999716.39339203853</v>
      </c>
      <c r="M825" s="37">
        <f ca="1">(RANDBETWEEN($E$14,$F$14)*$M$9)+$M$10+$M$18</f>
        <v>1043245.7659826493</v>
      </c>
      <c r="N825" s="37">
        <f t="shared" ref="N825" ca="1" si="791">NPV($E$23+$F$23,H825:M825)+$H$4</f>
        <v>1563369.2686726474</v>
      </c>
    </row>
    <row r="826" spans="4:17" x14ac:dyDescent="0.25">
      <c r="D826" s="33"/>
      <c r="E826" s="33">
        <v>796</v>
      </c>
      <c r="F826" s="37"/>
      <c r="G826" s="37"/>
      <c r="H826" s="37">
        <f t="shared" si="761"/>
        <v>868800</v>
      </c>
      <c r="I826" s="37">
        <f ca="1">(RANDBETWEEN($E$14,$F$14)*$I$9)+$I$10+$I$18</f>
        <v>-189819.59895313275</v>
      </c>
      <c r="J826" s="37">
        <f ca="1">(RANDBETWEEN($E$14,$F$14)*$J$9)+$J$10+$J$18</f>
        <v>-9238.8910066427197</v>
      </c>
      <c r="K826" s="37">
        <f ca="1">(RANDBETWEEN($E$14,$F$14)*$K$9)+$K$10+$K$18</f>
        <v>260393.25392346107</v>
      </c>
      <c r="L826" s="37">
        <f ca="1">(RANDBETWEEN($E$14,$F$14)*$L$9)+$L$10+$L$18</f>
        <v>671221.40421803342</v>
      </c>
      <c r="M826" s="37">
        <f ca="1">(RANDBETWEEN($E$14,$F$14)*$M$9)+$M$10+$M$18</f>
        <v>1043245.7659826493</v>
      </c>
      <c r="N826" s="37">
        <f t="shared" ref="N826" ca="1" si="792">NPV($E$23+$F$23,H826:M826)+$H$4</f>
        <v>1106289.4593414213</v>
      </c>
    </row>
    <row r="827" spans="4:17" x14ac:dyDescent="0.25">
      <c r="D827" s="33"/>
      <c r="E827" s="33">
        <v>797</v>
      </c>
      <c r="F827" s="37"/>
      <c r="G827" s="37"/>
      <c r="H827" s="37">
        <f t="shared" si="761"/>
        <v>868800</v>
      </c>
      <c r="I827" s="37">
        <f ca="1">(RANDBETWEEN($E$14,$F$14)*$I$9)+$I$10+$I$18</f>
        <v>-369472.96408399101</v>
      </c>
      <c r="J827" s="37">
        <f ca="1">(RANDBETWEEN($E$14,$F$14)*$J$9)+$J$10+$J$18</f>
        <v>-9238.8910066427197</v>
      </c>
      <c r="K827" s="37">
        <f ca="1">(RANDBETWEEN($E$14,$F$14)*$K$9)+$K$10+$K$18</f>
        <v>24363.532183028292</v>
      </c>
      <c r="L827" s="37">
        <f ca="1">(RANDBETWEEN($E$14,$F$14)*$L$9)+$L$10+$L$18</f>
        <v>671221.40421803342</v>
      </c>
      <c r="M827" s="37">
        <f ca="1">(RANDBETWEEN($E$14,$F$14)*$M$9)+$M$10+$M$18</f>
        <v>1424944.0925515993</v>
      </c>
      <c r="N827" s="37">
        <f t="shared" ref="N827" ca="1" si="793">NPV($E$23+$F$23,H827:M827)+$H$4</f>
        <v>1033985.4932194382</v>
      </c>
    </row>
    <row r="828" spans="4:17" x14ac:dyDescent="0.25">
      <c r="D828" s="33"/>
      <c r="E828" s="33">
        <v>798</v>
      </c>
      <c r="F828" s="37"/>
      <c r="G828" s="37"/>
      <c r="H828" s="37">
        <f t="shared" si="761"/>
        <v>868800</v>
      </c>
      <c r="I828" s="37">
        <f ca="1">(RANDBETWEEN($E$14,$F$14)*$I$9)+$I$10+$I$18</f>
        <v>-189819.59895313275</v>
      </c>
      <c r="J828" s="37">
        <f ca="1">(RANDBETWEEN($E$14,$F$14)*$J$9)+$J$10+$J$18</f>
        <v>221933.48456383706</v>
      </c>
      <c r="K828" s="37">
        <f ca="1">(RANDBETWEEN($E$14,$F$14)*$K$9)+$K$10+$K$18</f>
        <v>260393.25392346107</v>
      </c>
      <c r="L828" s="37">
        <f ca="1">(RANDBETWEEN($E$14,$F$14)*$L$9)+$L$10+$L$18</f>
        <v>999716.39339203853</v>
      </c>
      <c r="M828" s="37">
        <f ca="1">(RANDBETWEEN($E$14,$F$14)*$M$9)+$M$10+$M$18</f>
        <v>1424944.0925515993</v>
      </c>
      <c r="N828" s="37">
        <f t="shared" ref="N828" ca="1" si="794">NPV($E$23+$F$23,H828:M828)+$H$4</f>
        <v>1848198.4368288331</v>
      </c>
      <c r="Q828" s="37"/>
    </row>
    <row r="829" spans="4:17" x14ac:dyDescent="0.25">
      <c r="D829" s="33"/>
      <c r="E829" s="33">
        <v>799</v>
      </c>
      <c r="F829" s="37"/>
      <c r="G829" s="37"/>
      <c r="H829" s="37">
        <f t="shared" si="761"/>
        <v>868800</v>
      </c>
      <c r="I829" s="37">
        <f ca="1">(RANDBETWEEN($E$14,$F$14)*$I$9)+$I$10+$I$18</f>
        <v>-369472.96408399101</v>
      </c>
      <c r="J829" s="37">
        <f ca="1">(RANDBETWEEN($E$14,$F$14)*$J$9)+$J$10+$J$18</f>
        <v>-9238.8910066427197</v>
      </c>
      <c r="K829" s="37">
        <f ca="1">(RANDBETWEEN($E$14,$F$14)*$K$9)+$K$10+$K$18</f>
        <v>24363.532183028292</v>
      </c>
      <c r="L829" s="37">
        <f ca="1">(RANDBETWEEN($E$14,$F$14)*$L$9)+$L$10+$L$18</f>
        <v>999716.39339203853</v>
      </c>
      <c r="M829" s="37">
        <f ca="1">(RANDBETWEEN($E$14,$F$14)*$M$9)+$M$10+$M$18</f>
        <v>1043245.7659826493</v>
      </c>
      <c r="N829" s="37">
        <f t="shared" ref="N829" ca="1" si="795">NPV($E$23+$F$23,H829:M829)+$H$4</f>
        <v>1006540.7446348586</v>
      </c>
    </row>
    <row r="830" spans="4:17" x14ac:dyDescent="0.25">
      <c r="D830" s="33"/>
      <c r="E830" s="33">
        <v>800</v>
      </c>
      <c r="F830" s="37"/>
      <c r="G830" s="37"/>
      <c r="H830" s="37">
        <f t="shared" si="761"/>
        <v>868800</v>
      </c>
      <c r="I830" s="37">
        <f ca="1">(RANDBETWEEN($E$14,$F$14)*$I$9)+$I$10+$I$18</f>
        <v>-369472.96408399101</v>
      </c>
      <c r="J830" s="37">
        <f ca="1">(RANDBETWEEN($E$14,$F$14)*$J$9)+$J$10+$J$18</f>
        <v>221933.48456383706</v>
      </c>
      <c r="K830" s="37">
        <f ca="1">(RANDBETWEEN($E$14,$F$14)*$K$9)+$K$10+$K$18</f>
        <v>260393.25392346107</v>
      </c>
      <c r="L830" s="37">
        <f ca="1">(RANDBETWEEN($E$14,$F$14)*$L$9)+$L$10+$L$18</f>
        <v>671221.40421803342</v>
      </c>
      <c r="M830" s="37">
        <f ca="1">(RANDBETWEEN($E$14,$F$14)*$M$9)+$M$10+$M$18</f>
        <v>1043245.7659826493</v>
      </c>
      <c r="N830" s="37">
        <f t="shared" ref="N830" ca="1" si="796">NPV($E$23+$F$23,H830:M830)+$H$4</f>
        <v>1143033.9510231656</v>
      </c>
    </row>
    <row r="831" spans="4:17" x14ac:dyDescent="0.25">
      <c r="D831" s="33"/>
      <c r="E831" s="33">
        <v>801</v>
      </c>
      <c r="F831" s="37"/>
      <c r="G831" s="37"/>
      <c r="H831" s="37">
        <f t="shared" si="761"/>
        <v>868800</v>
      </c>
      <c r="I831" s="37">
        <f ca="1">(RANDBETWEEN($E$14,$F$14)*$I$9)+$I$10+$I$18</f>
        <v>-189819.59895313275</v>
      </c>
      <c r="J831" s="37">
        <f ca="1">(RANDBETWEEN($E$14,$F$14)*$J$9)+$J$10+$J$18</f>
        <v>-9238.8910066427197</v>
      </c>
      <c r="K831" s="37">
        <f ca="1">(RANDBETWEEN($E$14,$F$14)*$K$9)+$K$10+$K$18</f>
        <v>24363.532183028292</v>
      </c>
      <c r="L831" s="37">
        <f ca="1">(RANDBETWEEN($E$14,$F$14)*$L$9)+$L$10+$L$18</f>
        <v>671221.40421803342</v>
      </c>
      <c r="M831" s="37">
        <f ca="1">(RANDBETWEEN($E$14,$F$14)*$M$9)+$M$10+$M$18</f>
        <v>1424944.0925515993</v>
      </c>
      <c r="N831" s="37">
        <f t="shared" ref="N831" ca="1" si="797">NPV($E$23+$F$23,H831:M831)+$H$4</f>
        <v>1196936.3912973143</v>
      </c>
    </row>
    <row r="832" spans="4:17" x14ac:dyDescent="0.25">
      <c r="D832" s="33"/>
      <c r="E832" s="33">
        <v>802</v>
      </c>
      <c r="F832" s="37"/>
      <c r="G832" s="37"/>
      <c r="H832" s="37">
        <f t="shared" si="761"/>
        <v>868800</v>
      </c>
      <c r="I832" s="37">
        <f ca="1">(RANDBETWEEN($E$14,$F$14)*$I$9)+$I$10+$I$18</f>
        <v>-369472.96408399101</v>
      </c>
      <c r="J832" s="37">
        <f ca="1">(RANDBETWEEN($E$14,$F$14)*$J$9)+$J$10+$J$18</f>
        <v>-9238.8910066427197</v>
      </c>
      <c r="K832" s="37">
        <f ca="1">(RANDBETWEEN($E$14,$F$14)*$K$9)+$K$10+$K$18</f>
        <v>260393.25392346107</v>
      </c>
      <c r="L832" s="37">
        <f ca="1">(RANDBETWEEN($E$14,$F$14)*$L$9)+$L$10+$L$18</f>
        <v>671221.40421803342</v>
      </c>
      <c r="M832" s="37">
        <f ca="1">(RANDBETWEEN($E$14,$F$14)*$M$9)+$M$10+$M$18</f>
        <v>1043245.7659826493</v>
      </c>
      <c r="N832" s="37">
        <f t="shared" ref="N832" ca="1" si="798">NPV($E$23+$F$23,H832:M832)+$H$4</f>
        <v>943338.56126354542</v>
      </c>
    </row>
    <row r="833" spans="4:17" x14ac:dyDescent="0.25">
      <c r="D833" s="33"/>
      <c r="E833" s="33">
        <v>803</v>
      </c>
      <c r="F833" s="37"/>
      <c r="G833" s="37"/>
      <c r="H833" s="37">
        <f t="shared" si="761"/>
        <v>868800</v>
      </c>
      <c r="I833" s="37">
        <f ca="1">(RANDBETWEEN($E$14,$F$14)*$I$9)+$I$10+$I$18</f>
        <v>-369472.96408399101</v>
      </c>
      <c r="J833" s="37">
        <f ca="1">(RANDBETWEEN($E$14,$F$14)*$J$9)+$J$10+$J$18</f>
        <v>221933.48456383706</v>
      </c>
      <c r="K833" s="37">
        <f ca="1">(RANDBETWEEN($E$14,$F$14)*$K$9)+$K$10+$K$18</f>
        <v>24363.532183028292</v>
      </c>
      <c r="L833" s="37">
        <f ca="1">(RANDBETWEEN($E$14,$F$14)*$L$9)+$L$10+$L$18</f>
        <v>671221.40421803342</v>
      </c>
      <c r="M833" s="37">
        <f ca="1">(RANDBETWEEN($E$14,$F$14)*$M$9)+$M$10+$M$18</f>
        <v>1043245.7659826493</v>
      </c>
      <c r="N833" s="37">
        <f t="shared" ref="N833" ca="1" si="799">NPV($E$23+$F$23,H833:M833)+$H$4</f>
        <v>948851.71482287208</v>
      </c>
    </row>
    <row r="834" spans="4:17" x14ac:dyDescent="0.25">
      <c r="D834" s="33"/>
      <c r="E834" s="33">
        <v>804</v>
      </c>
      <c r="F834" s="37"/>
      <c r="G834" s="37"/>
      <c r="H834" s="37">
        <f t="shared" si="761"/>
        <v>868800</v>
      </c>
      <c r="I834" s="37">
        <f ca="1">(RANDBETWEEN($E$14,$F$14)*$I$9)+$I$10+$I$18</f>
        <v>-189819.59895313275</v>
      </c>
      <c r="J834" s="37">
        <f ca="1">(RANDBETWEEN($E$14,$F$14)*$J$9)+$J$10+$J$18</f>
        <v>-9238.8910066427197</v>
      </c>
      <c r="K834" s="37">
        <f ca="1">(RANDBETWEEN($E$14,$F$14)*$K$9)+$K$10+$K$18</f>
        <v>260393.25392346107</v>
      </c>
      <c r="L834" s="37">
        <f ca="1">(RANDBETWEEN($E$14,$F$14)*$L$9)+$L$10+$L$18</f>
        <v>999716.39339203853</v>
      </c>
      <c r="M834" s="37">
        <f ca="1">(RANDBETWEEN($E$14,$F$14)*$M$9)+$M$10+$M$18</f>
        <v>1424944.0925515993</v>
      </c>
      <c r="N834" s="37">
        <f t="shared" ref="N834" ca="1" si="800">NPV($E$23+$F$23,H834:M834)+$H$4</f>
        <v>1648503.0470692138</v>
      </c>
    </row>
    <row r="835" spans="4:17" x14ac:dyDescent="0.25">
      <c r="D835" s="33"/>
      <c r="E835" s="33">
        <v>805</v>
      </c>
      <c r="F835" s="37"/>
      <c r="G835" s="37"/>
      <c r="H835" s="37">
        <f t="shared" si="761"/>
        <v>868800</v>
      </c>
      <c r="I835" s="37">
        <f ca="1">(RANDBETWEEN($E$14,$F$14)*$I$9)+$I$10+$I$18</f>
        <v>-369472.96408399101</v>
      </c>
      <c r="J835" s="37">
        <f ca="1">(RANDBETWEEN($E$14,$F$14)*$J$9)+$J$10+$J$18</f>
        <v>-9238.8910066427197</v>
      </c>
      <c r="K835" s="37">
        <f ca="1">(RANDBETWEEN($E$14,$F$14)*$K$9)+$K$10+$K$18</f>
        <v>24363.532183028292</v>
      </c>
      <c r="L835" s="37">
        <f ca="1">(RANDBETWEEN($E$14,$F$14)*$L$9)+$L$10+$L$18</f>
        <v>999716.39339203853</v>
      </c>
      <c r="M835" s="37">
        <f ca="1">(RANDBETWEEN($E$14,$F$14)*$M$9)+$M$10+$M$18</f>
        <v>1043245.7659826493</v>
      </c>
      <c r="N835" s="37">
        <f t="shared" ref="N835" ca="1" si="801">NPV($E$23+$F$23,H835:M835)+$H$4</f>
        <v>1006540.7446348586</v>
      </c>
    </row>
    <row r="836" spans="4:17" x14ac:dyDescent="0.25">
      <c r="D836" s="33"/>
      <c r="E836" s="33">
        <v>806</v>
      </c>
      <c r="F836" s="37"/>
      <c r="G836" s="37"/>
      <c r="H836" s="37">
        <f t="shared" si="761"/>
        <v>868800</v>
      </c>
      <c r="I836" s="37">
        <f ca="1">(RANDBETWEEN($E$14,$F$14)*$I$9)+$I$10+$I$18</f>
        <v>-189819.59895313275</v>
      </c>
      <c r="J836" s="37">
        <f ca="1">(RANDBETWEEN($E$14,$F$14)*$J$9)+$J$10+$J$18</f>
        <v>221933.48456383706</v>
      </c>
      <c r="K836" s="37">
        <f ca="1">(RANDBETWEEN($E$14,$F$14)*$K$9)+$K$10+$K$18</f>
        <v>260393.25392346107</v>
      </c>
      <c r="L836" s="37">
        <f ca="1">(RANDBETWEEN($E$14,$F$14)*$L$9)+$L$10+$L$18</f>
        <v>671221.40421803342</v>
      </c>
      <c r="M836" s="37">
        <f ca="1">(RANDBETWEEN($E$14,$F$14)*$M$9)+$M$10+$M$18</f>
        <v>1043245.7659826493</v>
      </c>
      <c r="N836" s="37">
        <f t="shared" ref="N836" ca="1" si="802">NPV($E$23+$F$23,H836:M836)+$H$4</f>
        <v>1305984.8491010414</v>
      </c>
    </row>
    <row r="837" spans="4:17" x14ac:dyDescent="0.25">
      <c r="D837" s="33"/>
      <c r="E837" s="33">
        <v>807</v>
      </c>
      <c r="F837" s="37"/>
      <c r="G837" s="37"/>
      <c r="H837" s="37">
        <f t="shared" si="761"/>
        <v>868800</v>
      </c>
      <c r="I837" s="37">
        <f ca="1">(RANDBETWEEN($E$14,$F$14)*$I$9)+$I$10+$I$18</f>
        <v>-369472.96408399101</v>
      </c>
      <c r="J837" s="37">
        <f ca="1">(RANDBETWEEN($E$14,$F$14)*$J$9)+$J$10+$J$18</f>
        <v>221933.48456383706</v>
      </c>
      <c r="K837" s="37">
        <f ca="1">(RANDBETWEEN($E$14,$F$14)*$K$9)+$K$10+$K$18</f>
        <v>260393.25392346107</v>
      </c>
      <c r="L837" s="37">
        <f ca="1">(RANDBETWEEN($E$14,$F$14)*$L$9)+$L$10+$L$18</f>
        <v>999716.39339203853</v>
      </c>
      <c r="M837" s="37">
        <f ca="1">(RANDBETWEEN($E$14,$F$14)*$M$9)+$M$10+$M$18</f>
        <v>1043245.7659826493</v>
      </c>
      <c r="N837" s="37">
        <f t="shared" ref="N837" ca="1" si="803">NPV($E$23+$F$23,H837:M837)+$H$4</f>
        <v>1400418.3705947716</v>
      </c>
    </row>
    <row r="838" spans="4:17" x14ac:dyDescent="0.25">
      <c r="D838" s="33"/>
      <c r="E838" s="33">
        <v>808</v>
      </c>
      <c r="F838" s="37"/>
      <c r="G838" s="37"/>
      <c r="H838" s="37">
        <f t="shared" si="761"/>
        <v>868800</v>
      </c>
      <c r="I838" s="37">
        <f ca="1">(RANDBETWEEN($E$14,$F$14)*$I$9)+$I$10+$I$18</f>
        <v>-189819.59895313275</v>
      </c>
      <c r="J838" s="37">
        <f ca="1">(RANDBETWEEN($E$14,$F$14)*$J$9)+$J$10+$J$18</f>
        <v>221933.48456383706</v>
      </c>
      <c r="K838" s="37">
        <f ca="1">(RANDBETWEEN($E$14,$F$14)*$K$9)+$K$10+$K$18</f>
        <v>260393.25392346107</v>
      </c>
      <c r="L838" s="37">
        <f ca="1">(RANDBETWEEN($E$14,$F$14)*$L$9)+$L$10+$L$18</f>
        <v>999716.39339203853</v>
      </c>
      <c r="M838" s="37">
        <f ca="1">(RANDBETWEEN($E$14,$F$14)*$M$9)+$M$10+$M$18</f>
        <v>1424944.0925515993</v>
      </c>
      <c r="N838" s="37">
        <f t="shared" ref="N838" ca="1" si="804">NPV($E$23+$F$23,H838:M838)+$H$4</f>
        <v>1848198.4368288331</v>
      </c>
    </row>
    <row r="839" spans="4:17" x14ac:dyDescent="0.25">
      <c r="D839" s="33"/>
      <c r="E839" s="33">
        <v>809</v>
      </c>
      <c r="F839" s="37"/>
      <c r="G839" s="37"/>
      <c r="H839" s="37">
        <f t="shared" si="761"/>
        <v>868800</v>
      </c>
      <c r="I839" s="37">
        <f ca="1">(RANDBETWEEN($E$14,$F$14)*$I$9)+$I$10+$I$18</f>
        <v>-189819.59895313275</v>
      </c>
      <c r="J839" s="37">
        <f ca="1">(RANDBETWEEN($E$14,$F$14)*$J$9)+$J$10+$J$18</f>
        <v>-9238.8910066427197</v>
      </c>
      <c r="K839" s="37">
        <f ca="1">(RANDBETWEEN($E$14,$F$14)*$K$9)+$K$10+$K$18</f>
        <v>24363.532183028292</v>
      </c>
      <c r="L839" s="37">
        <f ca="1">(RANDBETWEEN($E$14,$F$14)*$L$9)+$L$10+$L$18</f>
        <v>671221.40421803342</v>
      </c>
      <c r="M839" s="37">
        <f ca="1">(RANDBETWEEN($E$14,$F$14)*$M$9)+$M$10+$M$18</f>
        <v>1424944.0925515993</v>
      </c>
      <c r="N839" s="37">
        <f t="shared" ref="N839" ca="1" si="805">NPV($E$23+$F$23,H839:M839)+$H$4</f>
        <v>1196936.3912973143</v>
      </c>
    </row>
    <row r="840" spans="4:17" x14ac:dyDescent="0.25">
      <c r="D840" s="33"/>
      <c r="E840" s="33">
        <v>810</v>
      </c>
      <c r="F840" s="37"/>
      <c r="G840" s="37"/>
      <c r="H840" s="37">
        <f t="shared" si="761"/>
        <v>868800</v>
      </c>
      <c r="I840" s="37">
        <f ca="1">(RANDBETWEEN($E$14,$F$14)*$I$9)+$I$10+$I$18</f>
        <v>-189819.59895313275</v>
      </c>
      <c r="J840" s="37">
        <f ca="1">(RANDBETWEEN($E$14,$F$14)*$J$9)+$J$10+$J$18</f>
        <v>-9238.8910066427197</v>
      </c>
      <c r="K840" s="37">
        <f ca="1">(RANDBETWEEN($E$14,$F$14)*$K$9)+$K$10+$K$18</f>
        <v>260393.25392346107</v>
      </c>
      <c r="L840" s="37">
        <f ca="1">(RANDBETWEEN($E$14,$F$14)*$L$9)+$L$10+$L$18</f>
        <v>999716.39339203853</v>
      </c>
      <c r="M840" s="37">
        <f ca="1">(RANDBETWEEN($E$14,$F$14)*$M$9)+$M$10+$M$18</f>
        <v>1424944.0925515993</v>
      </c>
      <c r="N840" s="37">
        <f t="shared" ref="N840" ca="1" si="806">NPV($E$23+$F$23,H840:M840)+$H$4</f>
        <v>1648503.0470692138</v>
      </c>
      <c r="Q840" s="37"/>
    </row>
    <row r="841" spans="4:17" x14ac:dyDescent="0.25">
      <c r="D841" s="33"/>
      <c r="E841" s="33">
        <v>811</v>
      </c>
      <c r="F841" s="37"/>
      <c r="G841" s="37"/>
      <c r="H841" s="37">
        <f t="shared" si="761"/>
        <v>868800</v>
      </c>
      <c r="I841" s="37">
        <f ca="1">(RANDBETWEEN($E$14,$F$14)*$I$9)+$I$10+$I$18</f>
        <v>-369472.96408399101</v>
      </c>
      <c r="J841" s="37">
        <f ca="1">(RANDBETWEEN($E$14,$F$14)*$J$9)+$J$10+$J$18</f>
        <v>-9238.8910066427197</v>
      </c>
      <c r="K841" s="37">
        <f ca="1">(RANDBETWEEN($E$14,$F$14)*$K$9)+$K$10+$K$18</f>
        <v>260393.25392346107</v>
      </c>
      <c r="L841" s="37">
        <f ca="1">(RANDBETWEEN($E$14,$F$14)*$L$9)+$L$10+$L$18</f>
        <v>999716.39339203853</v>
      </c>
      <c r="M841" s="37">
        <f ca="1">(RANDBETWEEN($E$14,$F$14)*$M$9)+$M$10+$M$18</f>
        <v>1043245.7659826493</v>
      </c>
      <c r="N841" s="37">
        <f t="shared" ref="N841" ca="1" si="807">NPV($E$23+$F$23,H841:M841)+$H$4</f>
        <v>1200722.9808351514</v>
      </c>
    </row>
    <row r="842" spans="4:17" x14ac:dyDescent="0.25">
      <c r="D842" s="33"/>
      <c r="E842" s="33">
        <v>812</v>
      </c>
      <c r="F842" s="37"/>
      <c r="G842" s="37"/>
      <c r="H842" s="37">
        <f t="shared" si="761"/>
        <v>868800</v>
      </c>
      <c r="I842" s="37">
        <f ca="1">(RANDBETWEEN($E$14,$F$14)*$I$9)+$I$10+$I$18</f>
        <v>-369472.96408399101</v>
      </c>
      <c r="J842" s="37">
        <f ca="1">(RANDBETWEEN($E$14,$F$14)*$J$9)+$J$10+$J$18</f>
        <v>-9238.8910066427197</v>
      </c>
      <c r="K842" s="37">
        <f ca="1">(RANDBETWEEN($E$14,$F$14)*$K$9)+$K$10+$K$18</f>
        <v>260393.25392346107</v>
      </c>
      <c r="L842" s="37">
        <f ca="1">(RANDBETWEEN($E$14,$F$14)*$L$9)+$L$10+$L$18</f>
        <v>999716.39339203853</v>
      </c>
      <c r="M842" s="37">
        <f ca="1">(RANDBETWEEN($E$14,$F$14)*$M$9)+$M$10+$M$18</f>
        <v>1424944.0925515993</v>
      </c>
      <c r="N842" s="37">
        <f t="shared" ref="N842" ca="1" si="808">NPV($E$23+$F$23,H842:M842)+$H$4</f>
        <v>1485552.1489913375</v>
      </c>
    </row>
    <row r="843" spans="4:17" x14ac:dyDescent="0.25">
      <c r="D843" s="33"/>
      <c r="E843" s="33">
        <v>813</v>
      </c>
      <c r="F843" s="37"/>
      <c r="G843" s="37"/>
      <c r="H843" s="37">
        <f t="shared" si="761"/>
        <v>868800</v>
      </c>
      <c r="I843" s="37">
        <f ca="1">(RANDBETWEEN($E$14,$F$14)*$I$9)+$I$10+$I$18</f>
        <v>-189819.59895313275</v>
      </c>
      <c r="J843" s="37">
        <f ca="1">(RANDBETWEEN($E$14,$F$14)*$J$9)+$J$10+$J$18</f>
        <v>-9238.8910066427197</v>
      </c>
      <c r="K843" s="37">
        <f ca="1">(RANDBETWEEN($E$14,$F$14)*$K$9)+$K$10+$K$18</f>
        <v>24363.532183028292</v>
      </c>
      <c r="L843" s="37">
        <f ca="1">(RANDBETWEEN($E$14,$F$14)*$L$9)+$L$10+$L$18</f>
        <v>671221.40421803342</v>
      </c>
      <c r="M843" s="37">
        <f ca="1">(RANDBETWEEN($E$14,$F$14)*$M$9)+$M$10+$M$18</f>
        <v>1424944.0925515993</v>
      </c>
      <c r="N843" s="37">
        <f t="shared" ref="N843" ca="1" si="809">NPV($E$23+$F$23,H843:M843)+$H$4</f>
        <v>1196936.3912973143</v>
      </c>
    </row>
    <row r="844" spans="4:17" x14ac:dyDescent="0.25">
      <c r="D844" s="33"/>
      <c r="E844" s="33">
        <v>814</v>
      </c>
      <c r="F844" s="37"/>
      <c r="G844" s="37"/>
      <c r="H844" s="37">
        <f t="shared" si="761"/>
        <v>868800</v>
      </c>
      <c r="I844" s="37">
        <f ca="1">(RANDBETWEEN($E$14,$F$14)*$I$9)+$I$10+$I$18</f>
        <v>-189819.59895313275</v>
      </c>
      <c r="J844" s="37">
        <f ca="1">(RANDBETWEEN($E$14,$F$14)*$J$9)+$J$10+$J$18</f>
        <v>221933.48456383706</v>
      </c>
      <c r="K844" s="37">
        <f ca="1">(RANDBETWEEN($E$14,$F$14)*$K$9)+$K$10+$K$18</f>
        <v>260393.25392346107</v>
      </c>
      <c r="L844" s="37">
        <f ca="1">(RANDBETWEEN($E$14,$F$14)*$L$9)+$L$10+$L$18</f>
        <v>671221.40421803342</v>
      </c>
      <c r="M844" s="37">
        <f ca="1">(RANDBETWEEN($E$14,$F$14)*$M$9)+$M$10+$M$18</f>
        <v>1043245.7659826493</v>
      </c>
      <c r="N844" s="37">
        <f t="shared" ref="N844" ca="1" si="810">NPV($E$23+$F$23,H844:M844)+$H$4</f>
        <v>1305984.8491010414</v>
      </c>
    </row>
    <row r="845" spans="4:17" x14ac:dyDescent="0.25">
      <c r="D845" s="33"/>
      <c r="E845" s="33">
        <v>815</v>
      </c>
      <c r="F845" s="37"/>
      <c r="G845" s="37"/>
      <c r="H845" s="37">
        <f t="shared" si="761"/>
        <v>868800</v>
      </c>
      <c r="I845" s="37">
        <f ca="1">(RANDBETWEEN($E$14,$F$14)*$I$9)+$I$10+$I$18</f>
        <v>-369472.96408399101</v>
      </c>
      <c r="J845" s="37">
        <f ca="1">(RANDBETWEEN($E$14,$F$14)*$J$9)+$J$10+$J$18</f>
        <v>221933.48456383706</v>
      </c>
      <c r="K845" s="37">
        <f ca="1">(RANDBETWEEN($E$14,$F$14)*$K$9)+$K$10+$K$18</f>
        <v>260393.25392346107</v>
      </c>
      <c r="L845" s="37">
        <f ca="1">(RANDBETWEEN($E$14,$F$14)*$L$9)+$L$10+$L$18</f>
        <v>999716.39339203853</v>
      </c>
      <c r="M845" s="37">
        <f ca="1">(RANDBETWEEN($E$14,$F$14)*$M$9)+$M$10+$M$18</f>
        <v>1043245.7659826493</v>
      </c>
      <c r="N845" s="37">
        <f t="shared" ref="N845" ca="1" si="811">NPV($E$23+$F$23,H845:M845)+$H$4</f>
        <v>1400418.3705947716</v>
      </c>
    </row>
    <row r="846" spans="4:17" x14ac:dyDescent="0.25">
      <c r="D846" s="33"/>
      <c r="E846" s="33">
        <v>816</v>
      </c>
      <c r="F846" s="37"/>
      <c r="G846" s="37"/>
      <c r="H846" s="37">
        <f t="shared" si="761"/>
        <v>868800</v>
      </c>
      <c r="I846" s="37">
        <f ca="1">(RANDBETWEEN($E$14,$F$14)*$I$9)+$I$10+$I$18</f>
        <v>-369472.96408399101</v>
      </c>
      <c r="J846" s="37">
        <f ca="1">(RANDBETWEEN($E$14,$F$14)*$J$9)+$J$10+$J$18</f>
        <v>221933.48456383706</v>
      </c>
      <c r="K846" s="37">
        <f ca="1">(RANDBETWEEN($E$14,$F$14)*$K$9)+$K$10+$K$18</f>
        <v>24363.532183028292</v>
      </c>
      <c r="L846" s="37">
        <f ca="1">(RANDBETWEEN($E$14,$F$14)*$L$9)+$L$10+$L$18</f>
        <v>671221.40421803342</v>
      </c>
      <c r="M846" s="37">
        <f ca="1">(RANDBETWEEN($E$14,$F$14)*$M$9)+$M$10+$M$18</f>
        <v>1424944.0925515993</v>
      </c>
      <c r="N846" s="37">
        <f t="shared" ref="N846" ca="1" si="812">NPV($E$23+$F$23,H846:M846)+$H$4</f>
        <v>1233680.8829790577</v>
      </c>
    </row>
    <row r="847" spans="4:17" x14ac:dyDescent="0.25">
      <c r="D847" s="33"/>
      <c r="E847" s="33">
        <v>817</v>
      </c>
      <c r="F847" s="37"/>
      <c r="G847" s="37"/>
      <c r="H847" s="37">
        <f t="shared" si="761"/>
        <v>868800</v>
      </c>
      <c r="I847" s="37">
        <f ca="1">(RANDBETWEEN($E$14,$F$14)*$I$9)+$I$10+$I$18</f>
        <v>-189819.59895313275</v>
      </c>
      <c r="J847" s="37">
        <f ca="1">(RANDBETWEEN($E$14,$F$14)*$J$9)+$J$10+$J$18</f>
        <v>-9238.8910066427197</v>
      </c>
      <c r="K847" s="37">
        <f ca="1">(RANDBETWEEN($E$14,$F$14)*$K$9)+$K$10+$K$18</f>
        <v>24363.532183028292</v>
      </c>
      <c r="L847" s="37">
        <f ca="1">(RANDBETWEEN($E$14,$F$14)*$L$9)+$L$10+$L$18</f>
        <v>671221.40421803342</v>
      </c>
      <c r="M847" s="37">
        <f ca="1">(RANDBETWEEN($E$14,$F$14)*$M$9)+$M$10+$M$18</f>
        <v>1424944.0925515993</v>
      </c>
      <c r="N847" s="37">
        <f t="shared" ref="N847" ca="1" si="813">NPV($E$23+$F$23,H847:M847)+$H$4</f>
        <v>1196936.3912973143</v>
      </c>
    </row>
    <row r="848" spans="4:17" x14ac:dyDescent="0.25">
      <c r="D848" s="33"/>
      <c r="E848" s="33">
        <v>818</v>
      </c>
      <c r="F848" s="37"/>
      <c r="G848" s="37"/>
      <c r="H848" s="37">
        <f t="shared" si="761"/>
        <v>868800</v>
      </c>
      <c r="I848" s="37">
        <f ca="1">(RANDBETWEEN($E$14,$F$14)*$I$9)+$I$10+$I$18</f>
        <v>-369472.96408399101</v>
      </c>
      <c r="J848" s="37">
        <f ca="1">(RANDBETWEEN($E$14,$F$14)*$J$9)+$J$10+$J$18</f>
        <v>-9238.8910066427197</v>
      </c>
      <c r="K848" s="37">
        <f ca="1">(RANDBETWEEN($E$14,$F$14)*$K$9)+$K$10+$K$18</f>
        <v>260393.25392346107</v>
      </c>
      <c r="L848" s="37">
        <f ca="1">(RANDBETWEEN($E$14,$F$14)*$L$9)+$L$10+$L$18</f>
        <v>999716.39339203853</v>
      </c>
      <c r="M848" s="37">
        <f ca="1">(RANDBETWEEN($E$14,$F$14)*$M$9)+$M$10+$M$18</f>
        <v>1424944.0925515993</v>
      </c>
      <c r="N848" s="37">
        <f t="shared" ref="N848" ca="1" si="814">NPV($E$23+$F$23,H848:M848)+$H$4</f>
        <v>1485552.1489913375</v>
      </c>
    </row>
    <row r="849" spans="4:14" x14ac:dyDescent="0.25">
      <c r="D849" s="33"/>
      <c r="E849" s="33">
        <v>819</v>
      </c>
      <c r="F849" s="37"/>
      <c r="G849" s="37"/>
      <c r="H849" s="37">
        <f t="shared" si="761"/>
        <v>868800</v>
      </c>
      <c r="I849" s="37">
        <f ca="1">(RANDBETWEEN($E$14,$F$14)*$I$9)+$I$10+$I$18</f>
        <v>-369472.96408399101</v>
      </c>
      <c r="J849" s="37">
        <f ca="1">(RANDBETWEEN($E$14,$F$14)*$J$9)+$J$10+$J$18</f>
        <v>221933.48456383706</v>
      </c>
      <c r="K849" s="37">
        <f ca="1">(RANDBETWEEN($E$14,$F$14)*$K$9)+$K$10+$K$18</f>
        <v>260393.25392346107</v>
      </c>
      <c r="L849" s="37">
        <f ca="1">(RANDBETWEEN($E$14,$F$14)*$L$9)+$L$10+$L$18</f>
        <v>671221.40421803342</v>
      </c>
      <c r="M849" s="37">
        <f ca="1">(RANDBETWEEN($E$14,$F$14)*$M$9)+$M$10+$M$18</f>
        <v>1043245.7659826493</v>
      </c>
      <c r="N849" s="37">
        <f t="shared" ref="N849" ca="1" si="815">NPV($E$23+$F$23,H849:M849)+$H$4</f>
        <v>1143033.9510231656</v>
      </c>
    </row>
    <row r="850" spans="4:14" x14ac:dyDescent="0.25">
      <c r="D850" s="33"/>
      <c r="E850" s="33">
        <v>820</v>
      </c>
      <c r="F850" s="37"/>
      <c r="G850" s="37"/>
      <c r="H850" s="37">
        <f t="shared" si="761"/>
        <v>868800</v>
      </c>
      <c r="I850" s="37">
        <f ca="1">(RANDBETWEEN($E$14,$F$14)*$I$9)+$I$10+$I$18</f>
        <v>-189819.59895313275</v>
      </c>
      <c r="J850" s="37">
        <f ca="1">(RANDBETWEEN($E$14,$F$14)*$J$9)+$J$10+$J$18</f>
        <v>-9238.8910066427197</v>
      </c>
      <c r="K850" s="37">
        <f ca="1">(RANDBETWEEN($E$14,$F$14)*$K$9)+$K$10+$K$18</f>
        <v>260393.25392346107</v>
      </c>
      <c r="L850" s="37">
        <f ca="1">(RANDBETWEEN($E$14,$F$14)*$L$9)+$L$10+$L$18</f>
        <v>671221.40421803342</v>
      </c>
      <c r="M850" s="37">
        <f ca="1">(RANDBETWEEN($E$14,$F$14)*$M$9)+$M$10+$M$18</f>
        <v>1043245.7659826493</v>
      </c>
      <c r="N850" s="37">
        <f t="shared" ref="N850" ca="1" si="816">NPV($E$23+$F$23,H850:M850)+$H$4</f>
        <v>1106289.4593414213</v>
      </c>
    </row>
    <row r="851" spans="4:14" x14ac:dyDescent="0.25">
      <c r="D851" s="33"/>
      <c r="E851" s="33">
        <v>821</v>
      </c>
      <c r="F851" s="37"/>
      <c r="G851" s="37"/>
      <c r="H851" s="37">
        <f t="shared" si="761"/>
        <v>868800</v>
      </c>
      <c r="I851" s="37">
        <f ca="1">(RANDBETWEEN($E$14,$F$14)*$I$9)+$I$10+$I$18</f>
        <v>-369472.96408399101</v>
      </c>
      <c r="J851" s="37">
        <f ca="1">(RANDBETWEEN($E$14,$F$14)*$J$9)+$J$10+$J$18</f>
        <v>-9238.8910066427197</v>
      </c>
      <c r="K851" s="37">
        <f ca="1">(RANDBETWEEN($E$14,$F$14)*$K$9)+$K$10+$K$18</f>
        <v>24363.532183028292</v>
      </c>
      <c r="L851" s="37">
        <f ca="1">(RANDBETWEEN($E$14,$F$14)*$L$9)+$L$10+$L$18</f>
        <v>999716.39339203853</v>
      </c>
      <c r="M851" s="37">
        <f ca="1">(RANDBETWEEN($E$14,$F$14)*$M$9)+$M$10+$M$18</f>
        <v>1043245.7659826493</v>
      </c>
      <c r="N851" s="37">
        <f t="shared" ref="N851" ca="1" si="817">NPV($E$23+$F$23,H851:M851)+$H$4</f>
        <v>1006540.7446348586</v>
      </c>
    </row>
    <row r="852" spans="4:14" x14ac:dyDescent="0.25">
      <c r="D852" s="33"/>
      <c r="E852" s="33">
        <v>822</v>
      </c>
      <c r="F852" s="37"/>
      <c r="G852" s="37"/>
      <c r="H852" s="37">
        <f t="shared" si="761"/>
        <v>868800</v>
      </c>
      <c r="I852" s="37">
        <f ca="1">(RANDBETWEEN($E$14,$F$14)*$I$9)+$I$10+$I$18</f>
        <v>-369472.96408399101</v>
      </c>
      <c r="J852" s="37">
        <f ca="1">(RANDBETWEEN($E$14,$F$14)*$J$9)+$J$10+$J$18</f>
        <v>221933.48456383706</v>
      </c>
      <c r="K852" s="37">
        <f ca="1">(RANDBETWEEN($E$14,$F$14)*$K$9)+$K$10+$K$18</f>
        <v>24363.532183028292</v>
      </c>
      <c r="L852" s="37">
        <f ca="1">(RANDBETWEEN($E$14,$F$14)*$L$9)+$L$10+$L$18</f>
        <v>999716.39339203853</v>
      </c>
      <c r="M852" s="37">
        <f ca="1">(RANDBETWEEN($E$14,$F$14)*$M$9)+$M$10+$M$18</f>
        <v>1424944.0925515993</v>
      </c>
      <c r="N852" s="37">
        <f t="shared" ref="N852" ca="1" si="818">NPV($E$23+$F$23,H852:M852)+$H$4</f>
        <v>1491065.3025506642</v>
      </c>
    </row>
    <row r="853" spans="4:14" x14ac:dyDescent="0.25">
      <c r="D853" s="33"/>
      <c r="E853" s="33">
        <v>823</v>
      </c>
      <c r="F853" s="37"/>
      <c r="G853" s="37"/>
      <c r="H853" s="37">
        <f t="shared" si="761"/>
        <v>868800</v>
      </c>
      <c r="I853" s="37">
        <f ca="1">(RANDBETWEEN($E$14,$F$14)*$I$9)+$I$10+$I$18</f>
        <v>-189819.59895313275</v>
      </c>
      <c r="J853" s="37">
        <f ca="1">(RANDBETWEEN($E$14,$F$14)*$J$9)+$J$10+$J$18</f>
        <v>-9238.8910066427197</v>
      </c>
      <c r="K853" s="37">
        <f ca="1">(RANDBETWEEN($E$14,$F$14)*$K$9)+$K$10+$K$18</f>
        <v>260393.25392346107</v>
      </c>
      <c r="L853" s="37">
        <f ca="1">(RANDBETWEEN($E$14,$F$14)*$L$9)+$L$10+$L$18</f>
        <v>999716.39339203853</v>
      </c>
      <c r="M853" s="37">
        <f ca="1">(RANDBETWEEN($E$14,$F$14)*$M$9)+$M$10+$M$18</f>
        <v>1424944.0925515993</v>
      </c>
      <c r="N853" s="37">
        <f t="shared" ref="N853" ca="1" si="819">NPV($E$23+$F$23,H853:M853)+$H$4</f>
        <v>1648503.0470692138</v>
      </c>
    </row>
    <row r="854" spans="4:14" x14ac:dyDescent="0.25">
      <c r="D854" s="33"/>
      <c r="E854" s="33">
        <v>824</v>
      </c>
      <c r="F854" s="37"/>
      <c r="G854" s="37"/>
      <c r="H854" s="37">
        <f t="shared" si="761"/>
        <v>868800</v>
      </c>
      <c r="I854" s="37">
        <f ca="1">(RANDBETWEEN($E$14,$F$14)*$I$9)+$I$10+$I$18</f>
        <v>-369472.96408399101</v>
      </c>
      <c r="J854" s="37">
        <f ca="1">(RANDBETWEEN($E$14,$F$14)*$J$9)+$J$10+$J$18</f>
        <v>221933.48456383706</v>
      </c>
      <c r="K854" s="37">
        <f ca="1">(RANDBETWEEN($E$14,$F$14)*$K$9)+$K$10+$K$18</f>
        <v>24363.532183028292</v>
      </c>
      <c r="L854" s="37">
        <f ca="1">(RANDBETWEEN($E$14,$F$14)*$L$9)+$L$10+$L$18</f>
        <v>999716.39339203853</v>
      </c>
      <c r="M854" s="37">
        <f ca="1">(RANDBETWEEN($E$14,$F$14)*$M$9)+$M$10+$M$18</f>
        <v>1043245.7659826493</v>
      </c>
      <c r="N854" s="37">
        <f t="shared" ref="N854" ca="1" si="820">NPV($E$23+$F$23,H854:M854)+$H$4</f>
        <v>1206236.1343944785</v>
      </c>
    </row>
    <row r="855" spans="4:14" x14ac:dyDescent="0.25">
      <c r="D855" s="33"/>
      <c r="E855" s="33">
        <v>825</v>
      </c>
      <c r="F855" s="37"/>
      <c r="G855" s="37"/>
      <c r="H855" s="37">
        <f t="shared" si="761"/>
        <v>868800</v>
      </c>
      <c r="I855" s="37">
        <f ca="1">(RANDBETWEEN($E$14,$F$14)*$I$9)+$I$10+$I$18</f>
        <v>-189819.59895313275</v>
      </c>
      <c r="J855" s="37">
        <f ca="1">(RANDBETWEEN($E$14,$F$14)*$J$9)+$J$10+$J$18</f>
        <v>221933.48456383706</v>
      </c>
      <c r="K855" s="37">
        <f ca="1">(RANDBETWEEN($E$14,$F$14)*$K$9)+$K$10+$K$18</f>
        <v>24363.532183028292</v>
      </c>
      <c r="L855" s="37">
        <f ca="1">(RANDBETWEEN($E$14,$F$14)*$L$9)+$L$10+$L$18</f>
        <v>671221.40421803342</v>
      </c>
      <c r="M855" s="37">
        <f ca="1">(RANDBETWEEN($E$14,$F$14)*$M$9)+$M$10+$M$18</f>
        <v>1043245.7659826493</v>
      </c>
      <c r="N855" s="37">
        <f t="shared" ref="N855" ca="1" si="821">NPV($E$23+$F$23,H855:M855)+$H$4</f>
        <v>1111802.6129007479</v>
      </c>
    </row>
    <row r="856" spans="4:14" x14ac:dyDescent="0.25">
      <c r="D856" s="33"/>
      <c r="E856" s="33">
        <v>826</v>
      </c>
      <c r="F856" s="37"/>
      <c r="G856" s="37"/>
      <c r="H856" s="37">
        <f t="shared" si="761"/>
        <v>868800</v>
      </c>
      <c r="I856" s="37">
        <f ca="1">(RANDBETWEEN($E$14,$F$14)*$I$9)+$I$10+$I$18</f>
        <v>-369472.96408399101</v>
      </c>
      <c r="J856" s="37">
        <f ca="1">(RANDBETWEEN($E$14,$F$14)*$J$9)+$J$10+$J$18</f>
        <v>221933.48456383706</v>
      </c>
      <c r="K856" s="37">
        <f ca="1">(RANDBETWEEN($E$14,$F$14)*$K$9)+$K$10+$K$18</f>
        <v>24363.532183028292</v>
      </c>
      <c r="L856" s="37">
        <f ca="1">(RANDBETWEEN($E$14,$F$14)*$L$9)+$L$10+$L$18</f>
        <v>999716.39339203853</v>
      </c>
      <c r="M856" s="37">
        <f ca="1">(RANDBETWEEN($E$14,$F$14)*$M$9)+$M$10+$M$18</f>
        <v>1043245.7659826493</v>
      </c>
      <c r="N856" s="37">
        <f t="shared" ref="N856" ca="1" si="822">NPV($E$23+$F$23,H856:M856)+$H$4</f>
        <v>1206236.1343944785</v>
      </c>
    </row>
    <row r="857" spans="4:14" x14ac:dyDescent="0.25">
      <c r="D857" s="33"/>
      <c r="E857" s="33">
        <v>827</v>
      </c>
      <c r="F857" s="37"/>
      <c r="G857" s="37"/>
      <c r="H857" s="37">
        <f t="shared" si="761"/>
        <v>868800</v>
      </c>
      <c r="I857" s="37">
        <f ca="1">(RANDBETWEEN($E$14,$F$14)*$I$9)+$I$10+$I$18</f>
        <v>-369472.96408399101</v>
      </c>
      <c r="J857" s="37">
        <f ca="1">(RANDBETWEEN($E$14,$F$14)*$J$9)+$J$10+$J$18</f>
        <v>-9238.8910066427197</v>
      </c>
      <c r="K857" s="37">
        <f ca="1">(RANDBETWEEN($E$14,$F$14)*$K$9)+$K$10+$K$18</f>
        <v>260393.25392346107</v>
      </c>
      <c r="L857" s="37">
        <f ca="1">(RANDBETWEEN($E$14,$F$14)*$L$9)+$L$10+$L$18</f>
        <v>999716.39339203853</v>
      </c>
      <c r="M857" s="37">
        <f ca="1">(RANDBETWEEN($E$14,$F$14)*$M$9)+$M$10+$M$18</f>
        <v>1043245.7659826493</v>
      </c>
      <c r="N857" s="37">
        <f t="shared" ref="N857" ca="1" si="823">NPV($E$23+$F$23,H857:M857)+$H$4</f>
        <v>1200722.9808351514</v>
      </c>
    </row>
    <row r="858" spans="4:14" x14ac:dyDescent="0.25">
      <c r="D858" s="33"/>
      <c r="E858" s="33">
        <v>828</v>
      </c>
      <c r="F858" s="37"/>
      <c r="G858" s="37"/>
      <c r="H858" s="37">
        <f t="shared" si="761"/>
        <v>868800</v>
      </c>
      <c r="I858" s="37">
        <f ca="1">(RANDBETWEEN($E$14,$F$14)*$I$9)+$I$10+$I$18</f>
        <v>-189819.59895313275</v>
      </c>
      <c r="J858" s="37">
        <f ca="1">(RANDBETWEEN($E$14,$F$14)*$J$9)+$J$10+$J$18</f>
        <v>221933.48456383706</v>
      </c>
      <c r="K858" s="37">
        <f ca="1">(RANDBETWEEN($E$14,$F$14)*$K$9)+$K$10+$K$18</f>
        <v>260393.25392346107</v>
      </c>
      <c r="L858" s="37">
        <f ca="1">(RANDBETWEEN($E$14,$F$14)*$L$9)+$L$10+$L$18</f>
        <v>671221.40421803342</v>
      </c>
      <c r="M858" s="37">
        <f ca="1">(RANDBETWEEN($E$14,$F$14)*$M$9)+$M$10+$M$18</f>
        <v>1424944.0925515993</v>
      </c>
      <c r="N858" s="37">
        <f t="shared" ref="N858" ca="1" si="824">NPV($E$23+$F$23,H858:M858)+$H$4</f>
        <v>1590814.0172572271</v>
      </c>
    </row>
    <row r="859" spans="4:14" x14ac:dyDescent="0.25">
      <c r="D859" s="33"/>
      <c r="E859" s="33">
        <v>829</v>
      </c>
      <c r="F859" s="37"/>
      <c r="G859" s="37"/>
      <c r="H859" s="37">
        <f t="shared" si="761"/>
        <v>868800</v>
      </c>
      <c r="I859" s="37">
        <f ca="1">(RANDBETWEEN($E$14,$F$14)*$I$9)+$I$10+$I$18</f>
        <v>-189819.59895313275</v>
      </c>
      <c r="J859" s="37">
        <f ca="1">(RANDBETWEEN($E$14,$F$14)*$J$9)+$J$10+$J$18</f>
        <v>-9238.8910066427197</v>
      </c>
      <c r="K859" s="37">
        <f ca="1">(RANDBETWEEN($E$14,$F$14)*$K$9)+$K$10+$K$18</f>
        <v>260393.25392346107</v>
      </c>
      <c r="L859" s="37">
        <f ca="1">(RANDBETWEEN($E$14,$F$14)*$L$9)+$L$10+$L$18</f>
        <v>999716.39339203853</v>
      </c>
      <c r="M859" s="37">
        <f ca="1">(RANDBETWEEN($E$14,$F$14)*$M$9)+$M$10+$M$18</f>
        <v>1043245.7659826493</v>
      </c>
      <c r="N859" s="37">
        <f t="shared" ref="N859" ca="1" si="825">NPV($E$23+$F$23,H859:M859)+$H$4</f>
        <v>1363673.8789130282</v>
      </c>
    </row>
    <row r="860" spans="4:14" x14ac:dyDescent="0.25">
      <c r="D860" s="33"/>
      <c r="E860" s="33">
        <v>830</v>
      </c>
      <c r="F860" s="37"/>
      <c r="G860" s="37"/>
      <c r="H860" s="37">
        <f t="shared" si="761"/>
        <v>868800</v>
      </c>
      <c r="I860" s="37">
        <f ca="1">(RANDBETWEEN($E$14,$F$14)*$I$9)+$I$10+$I$18</f>
        <v>-189819.59895313275</v>
      </c>
      <c r="J860" s="37">
        <f ca="1">(RANDBETWEEN($E$14,$F$14)*$J$9)+$J$10+$J$18</f>
        <v>221933.48456383706</v>
      </c>
      <c r="K860" s="37">
        <f ca="1">(RANDBETWEEN($E$14,$F$14)*$K$9)+$K$10+$K$18</f>
        <v>260393.25392346107</v>
      </c>
      <c r="L860" s="37">
        <f ca="1">(RANDBETWEEN($E$14,$F$14)*$L$9)+$L$10+$L$18</f>
        <v>999716.39339203853</v>
      </c>
      <c r="M860" s="37">
        <f ca="1">(RANDBETWEEN($E$14,$F$14)*$M$9)+$M$10+$M$18</f>
        <v>1424944.0925515993</v>
      </c>
      <c r="N860" s="37">
        <f t="shared" ref="N860" ca="1" si="826">NPV($E$23+$F$23,H860:M860)+$H$4</f>
        <v>1848198.4368288331</v>
      </c>
    </row>
    <row r="861" spans="4:14" x14ac:dyDescent="0.25">
      <c r="D861" s="33"/>
      <c r="E861" s="33">
        <v>831</v>
      </c>
      <c r="F861" s="37"/>
      <c r="G861" s="37"/>
      <c r="H861" s="37">
        <f t="shared" si="761"/>
        <v>868800</v>
      </c>
      <c r="I861" s="37">
        <f ca="1">(RANDBETWEEN($E$14,$F$14)*$I$9)+$I$10+$I$18</f>
        <v>-369472.96408399101</v>
      </c>
      <c r="J861" s="37">
        <f ca="1">(RANDBETWEEN($E$14,$F$14)*$J$9)+$J$10+$J$18</f>
        <v>-9238.8910066427197</v>
      </c>
      <c r="K861" s="37">
        <f ca="1">(RANDBETWEEN($E$14,$F$14)*$K$9)+$K$10+$K$18</f>
        <v>260393.25392346107</v>
      </c>
      <c r="L861" s="37">
        <f ca="1">(RANDBETWEEN($E$14,$F$14)*$L$9)+$L$10+$L$18</f>
        <v>671221.40421803342</v>
      </c>
      <c r="M861" s="37">
        <f ca="1">(RANDBETWEEN($E$14,$F$14)*$M$9)+$M$10+$M$18</f>
        <v>1043245.7659826493</v>
      </c>
      <c r="N861" s="37">
        <f t="shared" ref="N861" ca="1" si="827">NPV($E$23+$F$23,H861:M861)+$H$4</f>
        <v>943338.56126354542</v>
      </c>
    </row>
    <row r="862" spans="4:14" x14ac:dyDescent="0.25">
      <c r="D862" s="33"/>
      <c r="E862" s="33">
        <v>832</v>
      </c>
      <c r="F862" s="37"/>
      <c r="G862" s="37"/>
      <c r="H862" s="37">
        <f t="shared" si="761"/>
        <v>868800</v>
      </c>
      <c r="I862" s="37">
        <f ca="1">(RANDBETWEEN($E$14,$F$14)*$I$9)+$I$10+$I$18</f>
        <v>-369472.96408399101</v>
      </c>
      <c r="J862" s="37">
        <f ca="1">(RANDBETWEEN($E$14,$F$14)*$J$9)+$J$10+$J$18</f>
        <v>221933.48456383706</v>
      </c>
      <c r="K862" s="37">
        <f ca="1">(RANDBETWEEN($E$14,$F$14)*$K$9)+$K$10+$K$18</f>
        <v>260393.25392346107</v>
      </c>
      <c r="L862" s="37">
        <f ca="1">(RANDBETWEEN($E$14,$F$14)*$L$9)+$L$10+$L$18</f>
        <v>671221.40421803342</v>
      </c>
      <c r="M862" s="37">
        <f ca="1">(RANDBETWEEN($E$14,$F$14)*$M$9)+$M$10+$M$18</f>
        <v>1424944.0925515993</v>
      </c>
      <c r="N862" s="37">
        <f t="shared" ref="N862" ca="1" si="828">NPV($E$23+$F$23,H862:M862)+$H$4</f>
        <v>1427863.1191793513</v>
      </c>
    </row>
    <row r="863" spans="4:14" x14ac:dyDescent="0.25">
      <c r="D863" s="33"/>
      <c r="E863" s="33">
        <v>833</v>
      </c>
      <c r="F863" s="37"/>
      <c r="G863" s="37"/>
      <c r="H863" s="37">
        <f t="shared" si="761"/>
        <v>868800</v>
      </c>
      <c r="I863" s="37">
        <f ca="1">(RANDBETWEEN($E$14,$F$14)*$I$9)+$I$10+$I$18</f>
        <v>-369472.96408399101</v>
      </c>
      <c r="J863" s="37">
        <f ca="1">(RANDBETWEEN($E$14,$F$14)*$J$9)+$J$10+$J$18</f>
        <v>221933.48456383706</v>
      </c>
      <c r="K863" s="37">
        <f ca="1">(RANDBETWEEN($E$14,$F$14)*$K$9)+$K$10+$K$18</f>
        <v>24363.532183028292</v>
      </c>
      <c r="L863" s="37">
        <f ca="1">(RANDBETWEEN($E$14,$F$14)*$L$9)+$L$10+$L$18</f>
        <v>999716.39339203853</v>
      </c>
      <c r="M863" s="37">
        <f ca="1">(RANDBETWEEN($E$14,$F$14)*$M$9)+$M$10+$M$18</f>
        <v>1043245.7659826493</v>
      </c>
      <c r="N863" s="37">
        <f t="shared" ref="N863" ca="1" si="829">NPV($E$23+$F$23,H863:M863)+$H$4</f>
        <v>1206236.1343944785</v>
      </c>
    </row>
    <row r="864" spans="4:14" x14ac:dyDescent="0.25">
      <c r="D864" s="33"/>
      <c r="E864" s="33">
        <v>834</v>
      </c>
      <c r="F864" s="37"/>
      <c r="G864" s="37"/>
      <c r="H864" s="37">
        <f t="shared" si="761"/>
        <v>868800</v>
      </c>
      <c r="I864" s="37">
        <f ca="1">(RANDBETWEEN($E$14,$F$14)*$I$9)+$I$10+$I$18</f>
        <v>-369472.96408399101</v>
      </c>
      <c r="J864" s="37">
        <f ca="1">(RANDBETWEEN($E$14,$F$14)*$J$9)+$J$10+$J$18</f>
        <v>-9238.8910066427197</v>
      </c>
      <c r="K864" s="37">
        <f ca="1">(RANDBETWEEN($E$14,$F$14)*$K$9)+$K$10+$K$18</f>
        <v>260393.25392346107</v>
      </c>
      <c r="L864" s="37">
        <f ca="1">(RANDBETWEEN($E$14,$F$14)*$L$9)+$L$10+$L$18</f>
        <v>999716.39339203853</v>
      </c>
      <c r="M864" s="37">
        <f ca="1">(RANDBETWEEN($E$14,$F$14)*$M$9)+$M$10+$M$18</f>
        <v>1043245.7659826493</v>
      </c>
      <c r="N864" s="37">
        <f t="shared" ref="N864" ca="1" si="830">NPV($E$23+$F$23,H864:M864)+$H$4</f>
        <v>1200722.9808351514</v>
      </c>
    </row>
    <row r="865" spans="4:14" x14ac:dyDescent="0.25">
      <c r="D865" s="33"/>
      <c r="E865" s="33">
        <v>835</v>
      </c>
      <c r="F865" s="37"/>
      <c r="G865" s="37"/>
      <c r="H865" s="37">
        <f t="shared" si="761"/>
        <v>868800</v>
      </c>
      <c r="I865" s="37">
        <f ca="1">(RANDBETWEEN($E$14,$F$14)*$I$9)+$I$10+$I$18</f>
        <v>-369472.96408399101</v>
      </c>
      <c r="J865" s="37">
        <f ca="1">(RANDBETWEEN($E$14,$F$14)*$J$9)+$J$10+$J$18</f>
        <v>-9238.8910066427197</v>
      </c>
      <c r="K865" s="37">
        <f ca="1">(RANDBETWEEN($E$14,$F$14)*$K$9)+$K$10+$K$18</f>
        <v>260393.25392346107</v>
      </c>
      <c r="L865" s="37">
        <f ca="1">(RANDBETWEEN($E$14,$F$14)*$L$9)+$L$10+$L$18</f>
        <v>999716.39339203853</v>
      </c>
      <c r="M865" s="37">
        <f ca="1">(RANDBETWEEN($E$14,$F$14)*$M$9)+$M$10+$M$18</f>
        <v>1043245.7659826493</v>
      </c>
      <c r="N865" s="37">
        <f t="shared" ref="N865" ca="1" si="831">NPV($E$23+$F$23,H865:M865)+$H$4</f>
        <v>1200722.9808351514</v>
      </c>
    </row>
    <row r="866" spans="4:14" x14ac:dyDescent="0.25">
      <c r="D866" s="33"/>
      <c r="E866" s="33">
        <v>836</v>
      </c>
      <c r="F866" s="37"/>
      <c r="G866" s="37"/>
      <c r="H866" s="37">
        <f t="shared" si="761"/>
        <v>868800</v>
      </c>
      <c r="I866" s="37">
        <f ca="1">(RANDBETWEEN($E$14,$F$14)*$I$9)+$I$10+$I$18</f>
        <v>-369472.96408399101</v>
      </c>
      <c r="J866" s="37">
        <f ca="1">(RANDBETWEEN($E$14,$F$14)*$J$9)+$J$10+$J$18</f>
        <v>-9238.8910066427197</v>
      </c>
      <c r="K866" s="37">
        <f ca="1">(RANDBETWEEN($E$14,$F$14)*$K$9)+$K$10+$K$18</f>
        <v>24363.532183028292</v>
      </c>
      <c r="L866" s="37">
        <f ca="1">(RANDBETWEEN($E$14,$F$14)*$L$9)+$L$10+$L$18</f>
        <v>671221.40421803342</v>
      </c>
      <c r="M866" s="37">
        <f ca="1">(RANDBETWEEN($E$14,$F$14)*$M$9)+$M$10+$M$18</f>
        <v>1043245.7659826493</v>
      </c>
      <c r="N866" s="37">
        <f t="shared" ref="N866" ca="1" si="832">NPV($E$23+$F$23,H866:M866)+$H$4</f>
        <v>749156.32506325236</v>
      </c>
    </row>
    <row r="867" spans="4:14" x14ac:dyDescent="0.25">
      <c r="D867" s="33"/>
      <c r="E867" s="33">
        <v>837</v>
      </c>
      <c r="F867" s="37"/>
      <c r="G867" s="37"/>
      <c r="H867" s="37">
        <f t="shared" si="761"/>
        <v>868800</v>
      </c>
      <c r="I867" s="37">
        <f ca="1">(RANDBETWEEN($E$14,$F$14)*$I$9)+$I$10+$I$18</f>
        <v>-369472.96408399101</v>
      </c>
      <c r="J867" s="37">
        <f ca="1">(RANDBETWEEN($E$14,$F$14)*$J$9)+$J$10+$J$18</f>
        <v>221933.48456383706</v>
      </c>
      <c r="K867" s="37">
        <f ca="1">(RANDBETWEEN($E$14,$F$14)*$K$9)+$K$10+$K$18</f>
        <v>24363.532183028292</v>
      </c>
      <c r="L867" s="37">
        <f ca="1">(RANDBETWEEN($E$14,$F$14)*$L$9)+$L$10+$L$18</f>
        <v>671221.40421803342</v>
      </c>
      <c r="M867" s="37">
        <f ca="1">(RANDBETWEEN($E$14,$F$14)*$M$9)+$M$10+$M$18</f>
        <v>1043245.7659826493</v>
      </c>
      <c r="N867" s="37">
        <f t="shared" ref="N867" ca="1" si="833">NPV($E$23+$F$23,H867:M867)+$H$4</f>
        <v>948851.71482287208</v>
      </c>
    </row>
    <row r="868" spans="4:14" x14ac:dyDescent="0.25">
      <c r="D868" s="33"/>
      <c r="E868" s="33">
        <v>838</v>
      </c>
      <c r="F868" s="37"/>
      <c r="G868" s="37"/>
      <c r="H868" s="37">
        <f t="shared" si="761"/>
        <v>868800</v>
      </c>
      <c r="I868" s="37">
        <f ca="1">(RANDBETWEEN($E$14,$F$14)*$I$9)+$I$10+$I$18</f>
        <v>-189819.59895313275</v>
      </c>
      <c r="J868" s="37">
        <f ca="1">(RANDBETWEEN($E$14,$F$14)*$J$9)+$J$10+$J$18</f>
        <v>-9238.8910066427197</v>
      </c>
      <c r="K868" s="37">
        <f ca="1">(RANDBETWEEN($E$14,$F$14)*$K$9)+$K$10+$K$18</f>
        <v>260393.25392346107</v>
      </c>
      <c r="L868" s="37">
        <f ca="1">(RANDBETWEEN($E$14,$F$14)*$L$9)+$L$10+$L$18</f>
        <v>999716.39339203853</v>
      </c>
      <c r="M868" s="37">
        <f ca="1">(RANDBETWEEN($E$14,$F$14)*$M$9)+$M$10+$M$18</f>
        <v>1043245.7659826493</v>
      </c>
      <c r="N868" s="37">
        <f t="shared" ref="N868" ca="1" si="834">NPV($E$23+$F$23,H868:M868)+$H$4</f>
        <v>1363673.8789130282</v>
      </c>
    </row>
    <row r="869" spans="4:14" x14ac:dyDescent="0.25">
      <c r="D869" s="33"/>
      <c r="E869" s="33">
        <v>839</v>
      </c>
      <c r="F869" s="37"/>
      <c r="G869" s="37"/>
      <c r="H869" s="37">
        <f t="shared" si="761"/>
        <v>868800</v>
      </c>
      <c r="I869" s="37">
        <f ca="1">(RANDBETWEEN($E$14,$F$14)*$I$9)+$I$10+$I$18</f>
        <v>-369472.96408399101</v>
      </c>
      <c r="J869" s="37">
        <f ca="1">(RANDBETWEEN($E$14,$F$14)*$J$9)+$J$10+$J$18</f>
        <v>221933.48456383706</v>
      </c>
      <c r="K869" s="37">
        <f ca="1">(RANDBETWEEN($E$14,$F$14)*$K$9)+$K$10+$K$18</f>
        <v>260393.25392346107</v>
      </c>
      <c r="L869" s="37">
        <f ca="1">(RANDBETWEEN($E$14,$F$14)*$L$9)+$L$10+$L$18</f>
        <v>999716.39339203853</v>
      </c>
      <c r="M869" s="37">
        <f ca="1">(RANDBETWEEN($E$14,$F$14)*$M$9)+$M$10+$M$18</f>
        <v>1424944.0925515993</v>
      </c>
      <c r="N869" s="37">
        <f t="shared" ref="N869" ca="1" si="835">NPV($E$23+$F$23,H869:M869)+$H$4</f>
        <v>1685247.5387509572</v>
      </c>
    </row>
    <row r="870" spans="4:14" x14ac:dyDescent="0.25">
      <c r="D870" s="33"/>
      <c r="E870" s="33">
        <v>840</v>
      </c>
      <c r="F870" s="37"/>
      <c r="G870" s="37"/>
      <c r="H870" s="37">
        <f t="shared" si="761"/>
        <v>868800</v>
      </c>
      <c r="I870" s="37">
        <f ca="1">(RANDBETWEEN($E$14,$F$14)*$I$9)+$I$10+$I$18</f>
        <v>-189819.59895313275</v>
      </c>
      <c r="J870" s="37">
        <f ca="1">(RANDBETWEEN($E$14,$F$14)*$J$9)+$J$10+$J$18</f>
        <v>-9238.8910066427197</v>
      </c>
      <c r="K870" s="37">
        <f ca="1">(RANDBETWEEN($E$14,$F$14)*$K$9)+$K$10+$K$18</f>
        <v>260393.25392346107</v>
      </c>
      <c r="L870" s="37">
        <f ca="1">(RANDBETWEEN($E$14,$F$14)*$L$9)+$L$10+$L$18</f>
        <v>999716.39339203853</v>
      </c>
      <c r="M870" s="37">
        <f ca="1">(RANDBETWEEN($E$14,$F$14)*$M$9)+$M$10+$M$18</f>
        <v>1424944.0925515993</v>
      </c>
      <c r="N870" s="37">
        <f t="shared" ref="N870" ca="1" si="836">NPV($E$23+$F$23,H870:M870)+$H$4</f>
        <v>1648503.0470692138</v>
      </c>
    </row>
    <row r="871" spans="4:14" x14ac:dyDescent="0.25">
      <c r="D871" s="33"/>
      <c r="E871" s="33">
        <v>841</v>
      </c>
      <c r="F871" s="37"/>
      <c r="G871" s="37"/>
      <c r="H871" s="37">
        <f t="shared" si="761"/>
        <v>868800</v>
      </c>
      <c r="I871" s="37">
        <f ca="1">(RANDBETWEEN($E$14,$F$14)*$I$9)+$I$10+$I$18</f>
        <v>-189819.59895313275</v>
      </c>
      <c r="J871" s="37">
        <f ca="1">(RANDBETWEEN($E$14,$F$14)*$J$9)+$J$10+$J$18</f>
        <v>221933.48456383706</v>
      </c>
      <c r="K871" s="37">
        <f ca="1">(RANDBETWEEN($E$14,$F$14)*$K$9)+$K$10+$K$18</f>
        <v>24363.532183028292</v>
      </c>
      <c r="L871" s="37">
        <f ca="1">(RANDBETWEEN($E$14,$F$14)*$L$9)+$L$10+$L$18</f>
        <v>999716.39339203853</v>
      </c>
      <c r="M871" s="37">
        <f ca="1">(RANDBETWEEN($E$14,$F$14)*$M$9)+$M$10+$M$18</f>
        <v>1043245.7659826493</v>
      </c>
      <c r="N871" s="37">
        <f t="shared" ref="N871" ca="1" si="837">NPV($E$23+$F$23,H871:M871)+$H$4</f>
        <v>1369187.0324723539</v>
      </c>
    </row>
    <row r="872" spans="4:14" x14ac:dyDescent="0.25">
      <c r="D872" s="33"/>
      <c r="E872" s="33">
        <v>842</v>
      </c>
      <c r="F872" s="37"/>
      <c r="G872" s="37"/>
      <c r="H872" s="37">
        <f t="shared" si="761"/>
        <v>868800</v>
      </c>
      <c r="I872" s="37">
        <f ca="1">(RANDBETWEEN($E$14,$F$14)*$I$9)+$I$10+$I$18</f>
        <v>-189819.59895313275</v>
      </c>
      <c r="J872" s="37">
        <f ca="1">(RANDBETWEEN($E$14,$F$14)*$J$9)+$J$10+$J$18</f>
        <v>221933.48456383706</v>
      </c>
      <c r="K872" s="37">
        <f ca="1">(RANDBETWEEN($E$14,$F$14)*$K$9)+$K$10+$K$18</f>
        <v>260393.25392346107</v>
      </c>
      <c r="L872" s="37">
        <f ca="1">(RANDBETWEEN($E$14,$F$14)*$L$9)+$L$10+$L$18</f>
        <v>999716.39339203853</v>
      </c>
      <c r="M872" s="37">
        <f ca="1">(RANDBETWEEN($E$14,$F$14)*$M$9)+$M$10+$M$18</f>
        <v>1424944.0925515993</v>
      </c>
      <c r="N872" s="37">
        <f t="shared" ref="N872" ca="1" si="838">NPV($E$23+$F$23,H872:M872)+$H$4</f>
        <v>1848198.4368288331</v>
      </c>
    </row>
    <row r="873" spans="4:14" x14ac:dyDescent="0.25">
      <c r="D873" s="33"/>
      <c r="E873" s="33">
        <v>843</v>
      </c>
      <c r="F873" s="37"/>
      <c r="G873" s="37"/>
      <c r="H873" s="37">
        <f t="shared" si="761"/>
        <v>868800</v>
      </c>
      <c r="I873" s="37">
        <f ca="1">(RANDBETWEEN($E$14,$F$14)*$I$9)+$I$10+$I$18</f>
        <v>-369472.96408399101</v>
      </c>
      <c r="J873" s="37">
        <f ca="1">(RANDBETWEEN($E$14,$F$14)*$J$9)+$J$10+$J$18</f>
        <v>-9238.8910066427197</v>
      </c>
      <c r="K873" s="37">
        <f ca="1">(RANDBETWEEN($E$14,$F$14)*$K$9)+$K$10+$K$18</f>
        <v>24363.532183028292</v>
      </c>
      <c r="L873" s="37">
        <f ca="1">(RANDBETWEEN($E$14,$F$14)*$L$9)+$L$10+$L$18</f>
        <v>671221.40421803342</v>
      </c>
      <c r="M873" s="37">
        <f ca="1">(RANDBETWEEN($E$14,$F$14)*$M$9)+$M$10+$M$18</f>
        <v>1424944.0925515993</v>
      </c>
      <c r="N873" s="37">
        <f t="shared" ref="N873" ca="1" si="839">NPV($E$23+$F$23,H873:M873)+$H$4</f>
        <v>1033985.4932194382</v>
      </c>
    </row>
    <row r="874" spans="4:14" x14ac:dyDescent="0.25">
      <c r="D874" s="33"/>
      <c r="E874" s="33">
        <v>844</v>
      </c>
      <c r="F874" s="37"/>
      <c r="G874" s="37"/>
      <c r="H874" s="37">
        <f t="shared" si="761"/>
        <v>868800</v>
      </c>
      <c r="I874" s="37">
        <f ca="1">(RANDBETWEEN($E$14,$F$14)*$I$9)+$I$10+$I$18</f>
        <v>-189819.59895313275</v>
      </c>
      <c r="J874" s="37">
        <f ca="1">(RANDBETWEEN($E$14,$F$14)*$J$9)+$J$10+$J$18</f>
        <v>-9238.8910066427197</v>
      </c>
      <c r="K874" s="37">
        <f ca="1">(RANDBETWEEN($E$14,$F$14)*$K$9)+$K$10+$K$18</f>
        <v>24363.532183028292</v>
      </c>
      <c r="L874" s="37">
        <f ca="1">(RANDBETWEEN($E$14,$F$14)*$L$9)+$L$10+$L$18</f>
        <v>999716.39339203853</v>
      </c>
      <c r="M874" s="37">
        <f ca="1">(RANDBETWEEN($E$14,$F$14)*$M$9)+$M$10+$M$18</f>
        <v>1424944.0925515993</v>
      </c>
      <c r="N874" s="37">
        <f t="shared" ref="N874" ca="1" si="840">NPV($E$23+$F$23,H874:M874)+$H$4</f>
        <v>1454320.8108689203</v>
      </c>
    </row>
    <row r="875" spans="4:14" x14ac:dyDescent="0.25">
      <c r="D875" s="33"/>
      <c r="E875" s="33">
        <v>845</v>
      </c>
      <c r="F875" s="37"/>
      <c r="G875" s="37"/>
      <c r="H875" s="37">
        <f t="shared" si="761"/>
        <v>868800</v>
      </c>
      <c r="I875" s="37">
        <f ca="1">(RANDBETWEEN($E$14,$F$14)*$I$9)+$I$10+$I$18</f>
        <v>-369472.96408399101</v>
      </c>
      <c r="J875" s="37">
        <f ca="1">(RANDBETWEEN($E$14,$F$14)*$J$9)+$J$10+$J$18</f>
        <v>-9238.8910066427197</v>
      </c>
      <c r="K875" s="37">
        <f ca="1">(RANDBETWEEN($E$14,$F$14)*$K$9)+$K$10+$K$18</f>
        <v>260393.25392346107</v>
      </c>
      <c r="L875" s="37">
        <f ca="1">(RANDBETWEEN($E$14,$F$14)*$L$9)+$L$10+$L$18</f>
        <v>671221.40421803342</v>
      </c>
      <c r="M875" s="37">
        <f ca="1">(RANDBETWEEN($E$14,$F$14)*$M$9)+$M$10+$M$18</f>
        <v>1043245.7659826493</v>
      </c>
      <c r="N875" s="37">
        <f t="shared" ref="N875" ca="1" si="841">NPV($E$23+$F$23,H875:M875)+$H$4</f>
        <v>943338.56126354542</v>
      </c>
    </row>
    <row r="876" spans="4:14" x14ac:dyDescent="0.25">
      <c r="D876" s="33"/>
      <c r="E876" s="33">
        <v>846</v>
      </c>
      <c r="F876" s="37"/>
      <c r="G876" s="37"/>
      <c r="H876" s="37">
        <f t="shared" si="761"/>
        <v>868800</v>
      </c>
      <c r="I876" s="37">
        <f ca="1">(RANDBETWEEN($E$14,$F$14)*$I$9)+$I$10+$I$18</f>
        <v>-369472.96408399101</v>
      </c>
      <c r="J876" s="37">
        <f ca="1">(RANDBETWEEN($E$14,$F$14)*$J$9)+$J$10+$J$18</f>
        <v>-9238.8910066427197</v>
      </c>
      <c r="K876" s="37">
        <f ca="1">(RANDBETWEEN($E$14,$F$14)*$K$9)+$K$10+$K$18</f>
        <v>24363.532183028292</v>
      </c>
      <c r="L876" s="37">
        <f ca="1">(RANDBETWEEN($E$14,$F$14)*$L$9)+$L$10+$L$18</f>
        <v>671221.40421803342</v>
      </c>
      <c r="M876" s="37">
        <f ca="1">(RANDBETWEEN($E$14,$F$14)*$M$9)+$M$10+$M$18</f>
        <v>1043245.7659826493</v>
      </c>
      <c r="N876" s="37">
        <f t="shared" ref="N876" ca="1" si="842">NPV($E$23+$F$23,H876:M876)+$H$4</f>
        <v>749156.32506325236</v>
      </c>
    </row>
    <row r="877" spans="4:14" x14ac:dyDescent="0.25">
      <c r="D877" s="33"/>
      <c r="E877" s="33">
        <v>847</v>
      </c>
      <c r="F877" s="37"/>
      <c r="G877" s="37"/>
      <c r="H877" s="37">
        <f t="shared" si="761"/>
        <v>868800</v>
      </c>
      <c r="I877" s="37">
        <f ca="1">(RANDBETWEEN($E$14,$F$14)*$I$9)+$I$10+$I$18</f>
        <v>-189819.59895313275</v>
      </c>
      <c r="J877" s="37">
        <f ca="1">(RANDBETWEEN($E$14,$F$14)*$J$9)+$J$10+$J$18</f>
        <v>-9238.8910066427197</v>
      </c>
      <c r="K877" s="37">
        <f ca="1">(RANDBETWEEN($E$14,$F$14)*$K$9)+$K$10+$K$18</f>
        <v>24363.532183028292</v>
      </c>
      <c r="L877" s="37">
        <f ca="1">(RANDBETWEEN($E$14,$F$14)*$L$9)+$L$10+$L$18</f>
        <v>671221.40421803342</v>
      </c>
      <c r="M877" s="37">
        <f ca="1">(RANDBETWEEN($E$14,$F$14)*$M$9)+$M$10+$M$18</f>
        <v>1424944.0925515993</v>
      </c>
      <c r="N877" s="37">
        <f t="shared" ref="N877" ca="1" si="843">NPV($E$23+$F$23,H877:M877)+$H$4</f>
        <v>1196936.3912973143</v>
      </c>
    </row>
    <row r="878" spans="4:14" x14ac:dyDescent="0.25">
      <c r="D878" s="33"/>
      <c r="E878" s="33">
        <v>848</v>
      </c>
      <c r="F878" s="37"/>
      <c r="G878" s="37"/>
      <c r="H878" s="37">
        <f t="shared" si="761"/>
        <v>868800</v>
      </c>
      <c r="I878" s="37">
        <f ca="1">(RANDBETWEEN($E$14,$F$14)*$I$9)+$I$10+$I$18</f>
        <v>-369472.96408399101</v>
      </c>
      <c r="J878" s="37">
        <f ca="1">(RANDBETWEEN($E$14,$F$14)*$J$9)+$J$10+$J$18</f>
        <v>-9238.8910066427197</v>
      </c>
      <c r="K878" s="37">
        <f ca="1">(RANDBETWEEN($E$14,$F$14)*$K$9)+$K$10+$K$18</f>
        <v>24363.532183028292</v>
      </c>
      <c r="L878" s="37">
        <f ca="1">(RANDBETWEEN($E$14,$F$14)*$L$9)+$L$10+$L$18</f>
        <v>671221.40421803342</v>
      </c>
      <c r="M878" s="37">
        <f ca="1">(RANDBETWEEN($E$14,$F$14)*$M$9)+$M$10+$M$18</f>
        <v>1043245.7659826493</v>
      </c>
      <c r="N878" s="37">
        <f t="shared" ref="N878" ca="1" si="844">NPV($E$23+$F$23,H878:M878)+$H$4</f>
        <v>749156.32506325236</v>
      </c>
    </row>
    <row r="879" spans="4:14" x14ac:dyDescent="0.25">
      <c r="D879" s="33"/>
      <c r="E879" s="33">
        <v>849</v>
      </c>
      <c r="F879" s="37"/>
      <c r="G879" s="37"/>
      <c r="H879" s="37">
        <f t="shared" si="761"/>
        <v>868800</v>
      </c>
      <c r="I879" s="37">
        <f ca="1">(RANDBETWEEN($E$14,$F$14)*$I$9)+$I$10+$I$18</f>
        <v>-369472.96408399101</v>
      </c>
      <c r="J879" s="37">
        <f ca="1">(RANDBETWEEN($E$14,$F$14)*$J$9)+$J$10+$J$18</f>
        <v>-9238.8910066427197</v>
      </c>
      <c r="K879" s="37">
        <f ca="1">(RANDBETWEEN($E$14,$F$14)*$K$9)+$K$10+$K$18</f>
        <v>24363.532183028292</v>
      </c>
      <c r="L879" s="37">
        <f ca="1">(RANDBETWEEN($E$14,$F$14)*$L$9)+$L$10+$L$18</f>
        <v>671221.40421803342</v>
      </c>
      <c r="M879" s="37">
        <f ca="1">(RANDBETWEEN($E$14,$F$14)*$M$9)+$M$10+$M$18</f>
        <v>1043245.7659826493</v>
      </c>
      <c r="N879" s="37">
        <f t="shared" ref="N879" ca="1" si="845">NPV($E$23+$F$23,H879:M879)+$H$4</f>
        <v>749156.32506325236</v>
      </c>
    </row>
    <row r="880" spans="4:14" x14ac:dyDescent="0.25">
      <c r="D880" s="33"/>
      <c r="E880" s="33">
        <v>850</v>
      </c>
      <c r="F880" s="37"/>
      <c r="G880" s="37"/>
      <c r="H880" s="37">
        <f t="shared" si="761"/>
        <v>868800</v>
      </c>
      <c r="I880" s="37">
        <f ca="1">(RANDBETWEEN($E$14,$F$14)*$I$9)+$I$10+$I$18</f>
        <v>-189819.59895313275</v>
      </c>
      <c r="J880" s="37">
        <f ca="1">(RANDBETWEEN($E$14,$F$14)*$J$9)+$J$10+$J$18</f>
        <v>221933.48456383706</v>
      </c>
      <c r="K880" s="37">
        <f ca="1">(RANDBETWEEN($E$14,$F$14)*$K$9)+$K$10+$K$18</f>
        <v>260393.25392346107</v>
      </c>
      <c r="L880" s="37">
        <f ca="1">(RANDBETWEEN($E$14,$F$14)*$L$9)+$L$10+$L$18</f>
        <v>671221.40421803342</v>
      </c>
      <c r="M880" s="37">
        <f ca="1">(RANDBETWEEN($E$14,$F$14)*$M$9)+$M$10+$M$18</f>
        <v>1424944.0925515993</v>
      </c>
      <c r="N880" s="37">
        <f t="shared" ref="N880" ca="1" si="846">NPV($E$23+$F$23,H880:M880)+$H$4</f>
        <v>1590814.0172572271</v>
      </c>
    </row>
    <row r="881" spans="4:17" x14ac:dyDescent="0.25">
      <c r="D881" s="33"/>
      <c r="E881" s="33">
        <v>851</v>
      </c>
      <c r="F881" s="37"/>
      <c r="G881" s="37"/>
      <c r="H881" s="37">
        <f t="shared" si="761"/>
        <v>868800</v>
      </c>
      <c r="I881" s="37">
        <f ca="1">(RANDBETWEEN($E$14,$F$14)*$I$9)+$I$10+$I$18</f>
        <v>-189819.59895313275</v>
      </c>
      <c r="J881" s="37">
        <f ca="1">(RANDBETWEEN($E$14,$F$14)*$J$9)+$J$10+$J$18</f>
        <v>221933.48456383706</v>
      </c>
      <c r="K881" s="37">
        <f ca="1">(RANDBETWEEN($E$14,$F$14)*$K$9)+$K$10+$K$18</f>
        <v>24363.532183028292</v>
      </c>
      <c r="L881" s="37">
        <f ca="1">(RANDBETWEEN($E$14,$F$14)*$L$9)+$L$10+$L$18</f>
        <v>671221.40421803342</v>
      </c>
      <c r="M881" s="37">
        <f ca="1">(RANDBETWEEN($E$14,$F$14)*$M$9)+$M$10+$M$18</f>
        <v>1043245.7659826493</v>
      </c>
      <c r="N881" s="37">
        <f t="shared" ref="N881" ca="1" si="847">NPV($E$23+$F$23,H881:M881)+$H$4</f>
        <v>1111802.6129007479</v>
      </c>
    </row>
    <row r="882" spans="4:17" x14ac:dyDescent="0.25">
      <c r="D882" s="33"/>
      <c r="E882" s="33">
        <v>852</v>
      </c>
      <c r="F882" s="37"/>
      <c r="G882" s="37"/>
      <c r="H882" s="37">
        <f t="shared" si="761"/>
        <v>868800</v>
      </c>
      <c r="I882" s="37">
        <f ca="1">(RANDBETWEEN($E$14,$F$14)*$I$9)+$I$10+$I$18</f>
        <v>-189819.59895313275</v>
      </c>
      <c r="J882" s="37">
        <f ca="1">(RANDBETWEEN($E$14,$F$14)*$J$9)+$J$10+$J$18</f>
        <v>-9238.8910066427197</v>
      </c>
      <c r="K882" s="37">
        <f ca="1">(RANDBETWEEN($E$14,$F$14)*$K$9)+$K$10+$K$18</f>
        <v>24363.532183028292</v>
      </c>
      <c r="L882" s="37">
        <f ca="1">(RANDBETWEEN($E$14,$F$14)*$L$9)+$L$10+$L$18</f>
        <v>999716.39339203853</v>
      </c>
      <c r="M882" s="37">
        <f ca="1">(RANDBETWEEN($E$14,$F$14)*$M$9)+$M$10+$M$18</f>
        <v>1043245.7659826493</v>
      </c>
      <c r="N882" s="37">
        <f t="shared" ref="N882" ca="1" si="848">NPV($E$23+$F$23,H882:M882)+$H$4</f>
        <v>1169491.6427127346</v>
      </c>
    </row>
    <row r="883" spans="4:17" x14ac:dyDescent="0.25">
      <c r="D883" s="33"/>
      <c r="E883" s="33">
        <v>853</v>
      </c>
      <c r="F883" s="37"/>
      <c r="G883" s="37"/>
      <c r="H883" s="37">
        <f t="shared" si="761"/>
        <v>868800</v>
      </c>
      <c r="I883" s="37">
        <f ca="1">(RANDBETWEEN($E$14,$F$14)*$I$9)+$I$10+$I$18</f>
        <v>-189819.59895313275</v>
      </c>
      <c r="J883" s="37">
        <f ca="1">(RANDBETWEEN($E$14,$F$14)*$J$9)+$J$10+$J$18</f>
        <v>-9238.8910066427197</v>
      </c>
      <c r="K883" s="37">
        <f ca="1">(RANDBETWEEN($E$14,$F$14)*$K$9)+$K$10+$K$18</f>
        <v>24363.532183028292</v>
      </c>
      <c r="L883" s="37">
        <f ca="1">(RANDBETWEEN($E$14,$F$14)*$L$9)+$L$10+$L$18</f>
        <v>671221.40421803342</v>
      </c>
      <c r="M883" s="37">
        <f ca="1">(RANDBETWEEN($E$14,$F$14)*$M$9)+$M$10+$M$18</f>
        <v>1043245.7659826493</v>
      </c>
      <c r="N883" s="37">
        <f t="shared" ref="N883" ca="1" si="849">NPV($E$23+$F$23,H883:M883)+$H$4</f>
        <v>912107.22314112843</v>
      </c>
    </row>
    <row r="884" spans="4:17" x14ac:dyDescent="0.25">
      <c r="D884" s="33"/>
      <c r="E884" s="33">
        <v>854</v>
      </c>
      <c r="F884" s="37"/>
      <c r="G884" s="37"/>
      <c r="H884" s="37">
        <f t="shared" si="761"/>
        <v>868800</v>
      </c>
      <c r="I884" s="37">
        <f ca="1">(RANDBETWEEN($E$14,$F$14)*$I$9)+$I$10+$I$18</f>
        <v>-369472.96408399101</v>
      </c>
      <c r="J884" s="37">
        <f ca="1">(RANDBETWEEN($E$14,$F$14)*$J$9)+$J$10+$J$18</f>
        <v>221933.48456383706</v>
      </c>
      <c r="K884" s="37">
        <f ca="1">(RANDBETWEEN($E$14,$F$14)*$K$9)+$K$10+$K$18</f>
        <v>260393.25392346107</v>
      </c>
      <c r="L884" s="37">
        <f ca="1">(RANDBETWEEN($E$14,$F$14)*$L$9)+$L$10+$L$18</f>
        <v>671221.40421803342</v>
      </c>
      <c r="M884" s="37">
        <f ca="1">(RANDBETWEEN($E$14,$F$14)*$M$9)+$M$10+$M$18</f>
        <v>1043245.7659826493</v>
      </c>
      <c r="N884" s="37">
        <f t="shared" ref="N884" ca="1" si="850">NPV($E$23+$F$23,H884:M884)+$H$4</f>
        <v>1143033.9510231656</v>
      </c>
    </row>
    <row r="885" spans="4:17" x14ac:dyDescent="0.25">
      <c r="D885" s="33"/>
      <c r="E885" s="33">
        <v>855</v>
      </c>
      <c r="F885" s="37"/>
      <c r="G885" s="37"/>
      <c r="H885" s="37">
        <f t="shared" si="761"/>
        <v>868800</v>
      </c>
      <c r="I885" s="37">
        <f ca="1">(RANDBETWEEN($E$14,$F$14)*$I$9)+$I$10+$I$18</f>
        <v>-369472.96408399101</v>
      </c>
      <c r="J885" s="37">
        <f ca="1">(RANDBETWEEN($E$14,$F$14)*$J$9)+$J$10+$J$18</f>
        <v>-9238.8910066427197</v>
      </c>
      <c r="K885" s="37">
        <f ca="1">(RANDBETWEEN($E$14,$F$14)*$K$9)+$K$10+$K$18</f>
        <v>24363.532183028292</v>
      </c>
      <c r="L885" s="37">
        <f ca="1">(RANDBETWEEN($E$14,$F$14)*$L$9)+$L$10+$L$18</f>
        <v>671221.40421803342</v>
      </c>
      <c r="M885" s="37">
        <f ca="1">(RANDBETWEEN($E$14,$F$14)*$M$9)+$M$10+$M$18</f>
        <v>1043245.7659826493</v>
      </c>
      <c r="N885" s="37">
        <f t="shared" ref="N885" ca="1" si="851">NPV($E$23+$F$23,H885:M885)+$H$4</f>
        <v>749156.32506325236</v>
      </c>
    </row>
    <row r="886" spans="4:17" x14ac:dyDescent="0.25">
      <c r="D886" s="33"/>
      <c r="E886" s="33">
        <v>856</v>
      </c>
      <c r="F886" s="37"/>
      <c r="G886" s="37"/>
      <c r="H886" s="37">
        <f t="shared" si="761"/>
        <v>868800</v>
      </c>
      <c r="I886" s="37">
        <f ca="1">(RANDBETWEEN($E$14,$F$14)*$I$9)+$I$10+$I$18</f>
        <v>-189819.59895313275</v>
      </c>
      <c r="J886" s="37">
        <f ca="1">(RANDBETWEEN($E$14,$F$14)*$J$9)+$J$10+$J$18</f>
        <v>221933.48456383706</v>
      </c>
      <c r="K886" s="37">
        <f ca="1">(RANDBETWEEN($E$14,$F$14)*$K$9)+$K$10+$K$18</f>
        <v>24363.532183028292</v>
      </c>
      <c r="L886" s="37">
        <f ca="1">(RANDBETWEEN($E$14,$F$14)*$L$9)+$L$10+$L$18</f>
        <v>671221.40421803342</v>
      </c>
      <c r="M886" s="37">
        <f ca="1">(RANDBETWEEN($E$14,$F$14)*$M$9)+$M$10+$M$18</f>
        <v>1043245.7659826493</v>
      </c>
      <c r="N886" s="37">
        <f t="shared" ref="N886" ca="1" si="852">NPV($E$23+$F$23,H886:M886)+$H$4</f>
        <v>1111802.6129007479</v>
      </c>
      <c r="Q886" s="37"/>
    </row>
    <row r="887" spans="4:17" x14ac:dyDescent="0.25">
      <c r="D887" s="33"/>
      <c r="E887" s="33">
        <v>857</v>
      </c>
      <c r="F887" s="37"/>
      <c r="G887" s="37"/>
      <c r="H887" s="37">
        <f t="shared" si="761"/>
        <v>868800</v>
      </c>
      <c r="I887" s="37">
        <f ca="1">(RANDBETWEEN($E$14,$F$14)*$I$9)+$I$10+$I$18</f>
        <v>-189819.59895313275</v>
      </c>
      <c r="J887" s="37">
        <f ca="1">(RANDBETWEEN($E$14,$F$14)*$J$9)+$J$10+$J$18</f>
        <v>-9238.8910066427197</v>
      </c>
      <c r="K887" s="37">
        <f ca="1">(RANDBETWEEN($E$14,$F$14)*$K$9)+$K$10+$K$18</f>
        <v>260393.25392346107</v>
      </c>
      <c r="L887" s="37">
        <f ca="1">(RANDBETWEEN($E$14,$F$14)*$L$9)+$L$10+$L$18</f>
        <v>999716.39339203853</v>
      </c>
      <c r="M887" s="37">
        <f ca="1">(RANDBETWEEN($E$14,$F$14)*$M$9)+$M$10+$M$18</f>
        <v>1043245.7659826493</v>
      </c>
      <c r="N887" s="37">
        <f t="shared" ref="N887" ca="1" si="853">NPV($E$23+$F$23,H887:M887)+$H$4</f>
        <v>1363673.8789130282</v>
      </c>
      <c r="Q887" s="37"/>
    </row>
    <row r="888" spans="4:17" x14ac:dyDescent="0.25">
      <c r="D888" s="33"/>
      <c r="E888" s="33">
        <v>858</v>
      </c>
      <c r="F888" s="37"/>
      <c r="G888" s="37"/>
      <c r="H888" s="37">
        <f t="shared" si="761"/>
        <v>868800</v>
      </c>
      <c r="I888" s="37">
        <f ca="1">(RANDBETWEEN($E$14,$F$14)*$I$9)+$I$10+$I$18</f>
        <v>-189819.59895313275</v>
      </c>
      <c r="J888" s="37">
        <f ca="1">(RANDBETWEEN($E$14,$F$14)*$J$9)+$J$10+$J$18</f>
        <v>-9238.8910066427197</v>
      </c>
      <c r="K888" s="37">
        <f ca="1">(RANDBETWEEN($E$14,$F$14)*$K$9)+$K$10+$K$18</f>
        <v>260393.25392346107</v>
      </c>
      <c r="L888" s="37">
        <f ca="1">(RANDBETWEEN($E$14,$F$14)*$L$9)+$L$10+$L$18</f>
        <v>999716.39339203853</v>
      </c>
      <c r="M888" s="37">
        <f ca="1">(RANDBETWEEN($E$14,$F$14)*$M$9)+$M$10+$M$18</f>
        <v>1043245.7659826493</v>
      </c>
      <c r="N888" s="37">
        <f t="shared" ref="N888" ca="1" si="854">NPV($E$23+$F$23,H888:M888)+$H$4</f>
        <v>1363673.8789130282</v>
      </c>
    </row>
    <row r="889" spans="4:17" x14ac:dyDescent="0.25">
      <c r="D889" s="33"/>
      <c r="E889" s="33">
        <v>859</v>
      </c>
      <c r="F889" s="37"/>
      <c r="G889" s="37"/>
      <c r="H889" s="37">
        <f t="shared" si="761"/>
        <v>868800</v>
      </c>
      <c r="I889" s="37">
        <f ca="1">(RANDBETWEEN($E$14,$F$14)*$I$9)+$I$10+$I$18</f>
        <v>-189819.59895313275</v>
      </c>
      <c r="J889" s="37">
        <f ca="1">(RANDBETWEEN($E$14,$F$14)*$J$9)+$J$10+$J$18</f>
        <v>221933.48456383706</v>
      </c>
      <c r="K889" s="37">
        <f ca="1">(RANDBETWEEN($E$14,$F$14)*$K$9)+$K$10+$K$18</f>
        <v>260393.25392346107</v>
      </c>
      <c r="L889" s="37">
        <f ca="1">(RANDBETWEEN($E$14,$F$14)*$L$9)+$L$10+$L$18</f>
        <v>999716.39339203853</v>
      </c>
      <c r="M889" s="37">
        <f ca="1">(RANDBETWEEN($E$14,$F$14)*$M$9)+$M$10+$M$18</f>
        <v>1424944.0925515993</v>
      </c>
      <c r="N889" s="37">
        <f t="shared" ref="N889" ca="1" si="855">NPV($E$23+$F$23,H889:M889)+$H$4</f>
        <v>1848198.4368288331</v>
      </c>
    </row>
    <row r="890" spans="4:17" x14ac:dyDescent="0.25">
      <c r="D890" s="33"/>
      <c r="E890" s="33">
        <v>860</v>
      </c>
      <c r="F890" s="37"/>
      <c r="G890" s="37"/>
      <c r="H890" s="37">
        <f t="shared" si="761"/>
        <v>868800</v>
      </c>
      <c r="I890" s="37">
        <f ca="1">(RANDBETWEEN($E$14,$F$14)*$I$9)+$I$10+$I$18</f>
        <v>-189819.59895313275</v>
      </c>
      <c r="J890" s="37">
        <f ca="1">(RANDBETWEEN($E$14,$F$14)*$J$9)+$J$10+$J$18</f>
        <v>-9238.8910066427197</v>
      </c>
      <c r="K890" s="37">
        <f ca="1">(RANDBETWEEN($E$14,$F$14)*$K$9)+$K$10+$K$18</f>
        <v>260393.25392346107</v>
      </c>
      <c r="L890" s="37">
        <f ca="1">(RANDBETWEEN($E$14,$F$14)*$L$9)+$L$10+$L$18</f>
        <v>671221.40421803342</v>
      </c>
      <c r="M890" s="37">
        <f ca="1">(RANDBETWEEN($E$14,$F$14)*$M$9)+$M$10+$M$18</f>
        <v>1043245.7659826493</v>
      </c>
      <c r="N890" s="37">
        <f t="shared" ref="N890" ca="1" si="856">NPV($E$23+$F$23,H890:M890)+$H$4</f>
        <v>1106289.4593414213</v>
      </c>
    </row>
    <row r="891" spans="4:17" x14ac:dyDescent="0.25">
      <c r="D891" s="33"/>
      <c r="E891" s="33">
        <v>861</v>
      </c>
      <c r="F891" s="37"/>
      <c r="G891" s="37"/>
      <c r="H891" s="37">
        <f t="shared" si="761"/>
        <v>868800</v>
      </c>
      <c r="I891" s="37">
        <f ca="1">(RANDBETWEEN($E$14,$F$14)*$I$9)+$I$10+$I$18</f>
        <v>-189819.59895313275</v>
      </c>
      <c r="J891" s="37">
        <f ca="1">(RANDBETWEEN($E$14,$F$14)*$J$9)+$J$10+$J$18</f>
        <v>221933.48456383706</v>
      </c>
      <c r="K891" s="37">
        <f ca="1">(RANDBETWEEN($E$14,$F$14)*$K$9)+$K$10+$K$18</f>
        <v>24363.532183028292</v>
      </c>
      <c r="L891" s="37">
        <f ca="1">(RANDBETWEEN($E$14,$F$14)*$L$9)+$L$10+$L$18</f>
        <v>999716.39339203853</v>
      </c>
      <c r="M891" s="37">
        <f ca="1">(RANDBETWEEN($E$14,$F$14)*$M$9)+$M$10+$M$18</f>
        <v>1043245.7659826493</v>
      </c>
      <c r="N891" s="37">
        <f t="shared" ref="N891" ca="1" si="857">NPV($E$23+$F$23,H891:M891)+$H$4</f>
        <v>1369187.0324723539</v>
      </c>
    </row>
    <row r="892" spans="4:17" x14ac:dyDescent="0.25">
      <c r="D892" s="33"/>
      <c r="E892" s="33">
        <v>862</v>
      </c>
      <c r="F892" s="37"/>
      <c r="G892" s="37"/>
      <c r="H892" s="37">
        <f t="shared" si="761"/>
        <v>868800</v>
      </c>
      <c r="I892" s="37">
        <f ca="1">(RANDBETWEEN($E$14,$F$14)*$I$9)+$I$10+$I$18</f>
        <v>-189819.59895313275</v>
      </c>
      <c r="J892" s="37">
        <f ca="1">(RANDBETWEEN($E$14,$F$14)*$J$9)+$J$10+$J$18</f>
        <v>-9238.8910066427197</v>
      </c>
      <c r="K892" s="37">
        <f ca="1">(RANDBETWEEN($E$14,$F$14)*$K$9)+$K$10+$K$18</f>
        <v>260393.25392346107</v>
      </c>
      <c r="L892" s="37">
        <f ca="1">(RANDBETWEEN($E$14,$F$14)*$L$9)+$L$10+$L$18</f>
        <v>671221.40421803342</v>
      </c>
      <c r="M892" s="37">
        <f ca="1">(RANDBETWEEN($E$14,$F$14)*$M$9)+$M$10+$M$18</f>
        <v>1043245.7659826493</v>
      </c>
      <c r="N892" s="37">
        <f t="shared" ref="N892" ca="1" si="858">NPV($E$23+$F$23,H892:M892)+$H$4</f>
        <v>1106289.4593414213</v>
      </c>
    </row>
    <row r="893" spans="4:17" x14ac:dyDescent="0.25">
      <c r="D893" s="33"/>
      <c r="E893" s="33">
        <v>863</v>
      </c>
      <c r="F893" s="37"/>
      <c r="G893" s="37"/>
      <c r="H893" s="37">
        <f t="shared" si="761"/>
        <v>868800</v>
      </c>
      <c r="I893" s="37">
        <f ca="1">(RANDBETWEEN($E$14,$F$14)*$I$9)+$I$10+$I$18</f>
        <v>-369472.96408399101</v>
      </c>
      <c r="J893" s="37">
        <f ca="1">(RANDBETWEEN($E$14,$F$14)*$J$9)+$J$10+$J$18</f>
        <v>221933.48456383706</v>
      </c>
      <c r="K893" s="37">
        <f ca="1">(RANDBETWEEN($E$14,$F$14)*$K$9)+$K$10+$K$18</f>
        <v>260393.25392346107</v>
      </c>
      <c r="L893" s="37">
        <f ca="1">(RANDBETWEEN($E$14,$F$14)*$L$9)+$L$10+$L$18</f>
        <v>671221.40421803342</v>
      </c>
      <c r="M893" s="37">
        <f ca="1">(RANDBETWEEN($E$14,$F$14)*$M$9)+$M$10+$M$18</f>
        <v>1424944.0925515993</v>
      </c>
      <c r="N893" s="37">
        <f t="shared" ref="N893" ca="1" si="859">NPV($E$23+$F$23,H893:M893)+$H$4</f>
        <v>1427863.1191793513</v>
      </c>
    </row>
    <row r="894" spans="4:17" x14ac:dyDescent="0.25">
      <c r="D894" s="33"/>
      <c r="E894" s="33">
        <v>864</v>
      </c>
      <c r="F894" s="37"/>
      <c r="G894" s="37"/>
      <c r="H894" s="37">
        <f t="shared" si="761"/>
        <v>868800</v>
      </c>
      <c r="I894" s="37">
        <f ca="1">(RANDBETWEEN($E$14,$F$14)*$I$9)+$I$10+$I$18</f>
        <v>-369472.96408399101</v>
      </c>
      <c r="J894" s="37">
        <f ca="1">(RANDBETWEEN($E$14,$F$14)*$J$9)+$J$10+$J$18</f>
        <v>221933.48456383706</v>
      </c>
      <c r="K894" s="37">
        <f ca="1">(RANDBETWEEN($E$14,$F$14)*$K$9)+$K$10+$K$18</f>
        <v>260393.25392346107</v>
      </c>
      <c r="L894" s="37">
        <f ca="1">(RANDBETWEEN($E$14,$F$14)*$L$9)+$L$10+$L$18</f>
        <v>671221.40421803342</v>
      </c>
      <c r="M894" s="37">
        <f ca="1">(RANDBETWEEN($E$14,$F$14)*$M$9)+$M$10+$M$18</f>
        <v>1424944.0925515993</v>
      </c>
      <c r="N894" s="37">
        <f t="shared" ref="N894" ca="1" si="860">NPV($E$23+$F$23,H894:M894)+$H$4</f>
        <v>1427863.1191793513</v>
      </c>
    </row>
    <row r="895" spans="4:17" x14ac:dyDescent="0.25">
      <c r="D895" s="33"/>
      <c r="E895" s="33">
        <v>865</v>
      </c>
      <c r="F895" s="37"/>
      <c r="G895" s="37"/>
      <c r="H895" s="37">
        <f t="shared" si="761"/>
        <v>868800</v>
      </c>
      <c r="I895" s="37">
        <f ca="1">(RANDBETWEEN($E$14,$F$14)*$I$9)+$I$10+$I$18</f>
        <v>-369472.96408399101</v>
      </c>
      <c r="J895" s="37">
        <f ca="1">(RANDBETWEEN($E$14,$F$14)*$J$9)+$J$10+$J$18</f>
        <v>221933.48456383706</v>
      </c>
      <c r="K895" s="37">
        <f ca="1">(RANDBETWEEN($E$14,$F$14)*$K$9)+$K$10+$K$18</f>
        <v>24363.532183028292</v>
      </c>
      <c r="L895" s="37">
        <f ca="1">(RANDBETWEEN($E$14,$F$14)*$L$9)+$L$10+$L$18</f>
        <v>999716.39339203853</v>
      </c>
      <c r="M895" s="37">
        <f ca="1">(RANDBETWEEN($E$14,$F$14)*$M$9)+$M$10+$M$18</f>
        <v>1424944.0925515993</v>
      </c>
      <c r="N895" s="37">
        <f t="shared" ref="N895" ca="1" si="861">NPV($E$23+$F$23,H895:M895)+$H$4</f>
        <v>1491065.3025506642</v>
      </c>
    </row>
    <row r="896" spans="4:17" x14ac:dyDescent="0.25">
      <c r="D896" s="33"/>
      <c r="E896" s="33">
        <v>866</v>
      </c>
      <c r="F896" s="37"/>
      <c r="G896" s="37"/>
      <c r="H896" s="37">
        <f t="shared" si="761"/>
        <v>868800</v>
      </c>
      <c r="I896" s="37">
        <f ca="1">(RANDBETWEEN($E$14,$F$14)*$I$9)+$I$10+$I$18</f>
        <v>-369472.96408399101</v>
      </c>
      <c r="J896" s="37">
        <f ca="1">(RANDBETWEEN($E$14,$F$14)*$J$9)+$J$10+$J$18</f>
        <v>221933.48456383706</v>
      </c>
      <c r="K896" s="37">
        <f ca="1">(RANDBETWEEN($E$14,$F$14)*$K$9)+$K$10+$K$18</f>
        <v>260393.25392346107</v>
      </c>
      <c r="L896" s="37">
        <f ca="1">(RANDBETWEEN($E$14,$F$14)*$L$9)+$L$10+$L$18</f>
        <v>671221.40421803342</v>
      </c>
      <c r="M896" s="37">
        <f ca="1">(RANDBETWEEN($E$14,$F$14)*$M$9)+$M$10+$M$18</f>
        <v>1043245.7659826493</v>
      </c>
      <c r="N896" s="37">
        <f t="shared" ref="N896" ca="1" si="862">NPV($E$23+$F$23,H896:M896)+$H$4</f>
        <v>1143033.9510231656</v>
      </c>
    </row>
    <row r="897" spans="4:17" x14ac:dyDescent="0.25">
      <c r="D897" s="33"/>
      <c r="E897" s="33">
        <v>867</v>
      </c>
      <c r="F897" s="37"/>
      <c r="G897" s="37"/>
      <c r="H897" s="37">
        <f t="shared" si="761"/>
        <v>868800</v>
      </c>
      <c r="I897" s="37">
        <f ca="1">(RANDBETWEEN($E$14,$F$14)*$I$9)+$I$10+$I$18</f>
        <v>-369472.96408399101</v>
      </c>
      <c r="J897" s="37">
        <f ca="1">(RANDBETWEEN($E$14,$F$14)*$J$9)+$J$10+$J$18</f>
        <v>-9238.8910066427197</v>
      </c>
      <c r="K897" s="37">
        <f ca="1">(RANDBETWEEN($E$14,$F$14)*$K$9)+$K$10+$K$18</f>
        <v>260393.25392346107</v>
      </c>
      <c r="L897" s="37">
        <f ca="1">(RANDBETWEEN($E$14,$F$14)*$L$9)+$L$10+$L$18</f>
        <v>999716.39339203853</v>
      </c>
      <c r="M897" s="37">
        <f ca="1">(RANDBETWEEN($E$14,$F$14)*$M$9)+$M$10+$M$18</f>
        <v>1424944.0925515993</v>
      </c>
      <c r="N897" s="37">
        <f t="shared" ref="N897" ca="1" si="863">NPV($E$23+$F$23,H897:M897)+$H$4</f>
        <v>1485552.1489913375</v>
      </c>
    </row>
    <row r="898" spans="4:17" x14ac:dyDescent="0.25">
      <c r="D898" s="33"/>
      <c r="E898" s="33">
        <v>868</v>
      </c>
      <c r="F898" s="37"/>
      <c r="G898" s="37"/>
      <c r="H898" s="37">
        <f t="shared" si="761"/>
        <v>868800</v>
      </c>
      <c r="I898" s="37">
        <f ca="1">(RANDBETWEEN($E$14,$F$14)*$I$9)+$I$10+$I$18</f>
        <v>-369472.96408399101</v>
      </c>
      <c r="J898" s="37">
        <f ca="1">(RANDBETWEEN($E$14,$F$14)*$J$9)+$J$10+$J$18</f>
        <v>221933.48456383706</v>
      </c>
      <c r="K898" s="37">
        <f ca="1">(RANDBETWEEN($E$14,$F$14)*$K$9)+$K$10+$K$18</f>
        <v>260393.25392346107</v>
      </c>
      <c r="L898" s="37">
        <f ca="1">(RANDBETWEEN($E$14,$F$14)*$L$9)+$L$10+$L$18</f>
        <v>671221.40421803342</v>
      </c>
      <c r="M898" s="37">
        <f ca="1">(RANDBETWEEN($E$14,$F$14)*$M$9)+$M$10+$M$18</f>
        <v>1043245.7659826493</v>
      </c>
      <c r="N898" s="37">
        <f t="shared" ref="N898" ca="1" si="864">NPV($E$23+$F$23,H898:M898)+$H$4</f>
        <v>1143033.9510231656</v>
      </c>
      <c r="Q898" s="37"/>
    </row>
    <row r="899" spans="4:17" x14ac:dyDescent="0.25">
      <c r="D899" s="33"/>
      <c r="E899" s="33">
        <v>869</v>
      </c>
      <c r="F899" s="37"/>
      <c r="G899" s="37"/>
      <c r="H899" s="37">
        <f t="shared" si="761"/>
        <v>868800</v>
      </c>
      <c r="I899" s="37">
        <f ca="1">(RANDBETWEEN($E$14,$F$14)*$I$9)+$I$10+$I$18</f>
        <v>-369472.96408399101</v>
      </c>
      <c r="J899" s="37">
        <f ca="1">(RANDBETWEEN($E$14,$F$14)*$J$9)+$J$10+$J$18</f>
        <v>221933.48456383706</v>
      </c>
      <c r="K899" s="37">
        <f ca="1">(RANDBETWEEN($E$14,$F$14)*$K$9)+$K$10+$K$18</f>
        <v>260393.25392346107</v>
      </c>
      <c r="L899" s="37">
        <f ca="1">(RANDBETWEEN($E$14,$F$14)*$L$9)+$L$10+$L$18</f>
        <v>999716.39339203853</v>
      </c>
      <c r="M899" s="37">
        <f ca="1">(RANDBETWEEN($E$14,$F$14)*$M$9)+$M$10+$M$18</f>
        <v>1043245.7659826493</v>
      </c>
      <c r="N899" s="37">
        <f t="shared" ref="N899" ca="1" si="865">NPV($E$23+$F$23,H899:M899)+$H$4</f>
        <v>1400418.3705947716</v>
      </c>
    </row>
    <row r="900" spans="4:17" x14ac:dyDescent="0.25">
      <c r="D900" s="33"/>
      <c r="E900" s="33">
        <v>870</v>
      </c>
      <c r="F900" s="37"/>
      <c r="G900" s="37"/>
      <c r="H900" s="37">
        <f t="shared" si="761"/>
        <v>868800</v>
      </c>
      <c r="I900" s="37">
        <f ca="1">(RANDBETWEEN($E$14,$F$14)*$I$9)+$I$10+$I$18</f>
        <v>-369472.96408399101</v>
      </c>
      <c r="J900" s="37">
        <f ca="1">(RANDBETWEEN($E$14,$F$14)*$J$9)+$J$10+$J$18</f>
        <v>221933.48456383706</v>
      </c>
      <c r="K900" s="37">
        <f ca="1">(RANDBETWEEN($E$14,$F$14)*$K$9)+$K$10+$K$18</f>
        <v>24363.532183028292</v>
      </c>
      <c r="L900" s="37">
        <f ca="1">(RANDBETWEEN($E$14,$F$14)*$L$9)+$L$10+$L$18</f>
        <v>999716.39339203853</v>
      </c>
      <c r="M900" s="37">
        <f ca="1">(RANDBETWEEN($E$14,$F$14)*$M$9)+$M$10+$M$18</f>
        <v>1424944.0925515993</v>
      </c>
      <c r="N900" s="37">
        <f t="shared" ref="N900" ca="1" si="866">NPV($E$23+$F$23,H900:M900)+$H$4</f>
        <v>1491065.3025506642</v>
      </c>
    </row>
    <row r="901" spans="4:17" x14ac:dyDescent="0.25">
      <c r="D901" s="33"/>
      <c r="E901" s="33">
        <v>871</v>
      </c>
      <c r="F901" s="37"/>
      <c r="G901" s="37"/>
      <c r="H901" s="37">
        <f t="shared" si="761"/>
        <v>868800</v>
      </c>
      <c r="I901" s="37">
        <f ca="1">(RANDBETWEEN($E$14,$F$14)*$I$9)+$I$10+$I$18</f>
        <v>-369472.96408399101</v>
      </c>
      <c r="J901" s="37">
        <f ca="1">(RANDBETWEEN($E$14,$F$14)*$J$9)+$J$10+$J$18</f>
        <v>221933.48456383706</v>
      </c>
      <c r="K901" s="37">
        <f ca="1">(RANDBETWEEN($E$14,$F$14)*$K$9)+$K$10+$K$18</f>
        <v>24363.532183028292</v>
      </c>
      <c r="L901" s="37">
        <f ca="1">(RANDBETWEEN($E$14,$F$14)*$L$9)+$L$10+$L$18</f>
        <v>999716.39339203853</v>
      </c>
      <c r="M901" s="37">
        <f ca="1">(RANDBETWEEN($E$14,$F$14)*$M$9)+$M$10+$M$18</f>
        <v>1424944.0925515993</v>
      </c>
      <c r="N901" s="37">
        <f t="shared" ref="N901" ca="1" si="867">NPV($E$23+$F$23,H901:M901)+$H$4</f>
        <v>1491065.3025506642</v>
      </c>
    </row>
    <row r="902" spans="4:17" x14ac:dyDescent="0.25">
      <c r="D902" s="33"/>
      <c r="E902" s="33">
        <v>872</v>
      </c>
      <c r="F902" s="37"/>
      <c r="G902" s="37"/>
      <c r="H902" s="37">
        <f t="shared" si="761"/>
        <v>868800</v>
      </c>
      <c r="I902" s="37">
        <f ca="1">(RANDBETWEEN($E$14,$F$14)*$I$9)+$I$10+$I$18</f>
        <v>-369472.96408399101</v>
      </c>
      <c r="J902" s="37">
        <f ca="1">(RANDBETWEEN($E$14,$F$14)*$J$9)+$J$10+$J$18</f>
        <v>221933.48456383706</v>
      </c>
      <c r="K902" s="37">
        <f ca="1">(RANDBETWEEN($E$14,$F$14)*$K$9)+$K$10+$K$18</f>
        <v>260393.25392346107</v>
      </c>
      <c r="L902" s="37">
        <f ca="1">(RANDBETWEEN($E$14,$F$14)*$L$9)+$L$10+$L$18</f>
        <v>671221.40421803342</v>
      </c>
      <c r="M902" s="37">
        <f ca="1">(RANDBETWEEN($E$14,$F$14)*$M$9)+$M$10+$M$18</f>
        <v>1043245.7659826493</v>
      </c>
      <c r="N902" s="37">
        <f t="shared" ref="N902" ca="1" si="868">NPV($E$23+$F$23,H902:M902)+$H$4</f>
        <v>1143033.9510231656</v>
      </c>
    </row>
    <row r="903" spans="4:17" x14ac:dyDescent="0.25">
      <c r="D903" s="33"/>
      <c r="E903" s="33">
        <v>873</v>
      </c>
      <c r="F903" s="37"/>
      <c r="G903" s="37"/>
      <c r="H903" s="37">
        <f t="shared" si="761"/>
        <v>868800</v>
      </c>
      <c r="I903" s="37">
        <f ca="1">(RANDBETWEEN($E$14,$F$14)*$I$9)+$I$10+$I$18</f>
        <v>-369472.96408399101</v>
      </c>
      <c r="J903" s="37">
        <f ca="1">(RANDBETWEEN($E$14,$F$14)*$J$9)+$J$10+$J$18</f>
        <v>221933.48456383706</v>
      </c>
      <c r="K903" s="37">
        <f ca="1">(RANDBETWEEN($E$14,$F$14)*$K$9)+$K$10+$K$18</f>
        <v>24363.532183028292</v>
      </c>
      <c r="L903" s="37">
        <f ca="1">(RANDBETWEEN($E$14,$F$14)*$L$9)+$L$10+$L$18</f>
        <v>671221.40421803342</v>
      </c>
      <c r="M903" s="37">
        <f ca="1">(RANDBETWEEN($E$14,$F$14)*$M$9)+$M$10+$M$18</f>
        <v>1043245.7659826493</v>
      </c>
      <c r="N903" s="37">
        <f t="shared" ref="N903" ca="1" si="869">NPV($E$23+$F$23,H903:M903)+$H$4</f>
        <v>948851.71482287208</v>
      </c>
    </row>
    <row r="904" spans="4:17" x14ac:dyDescent="0.25">
      <c r="D904" s="33"/>
      <c r="E904" s="33">
        <v>874</v>
      </c>
      <c r="F904" s="37"/>
      <c r="G904" s="37"/>
      <c r="H904" s="37">
        <f t="shared" si="761"/>
        <v>868800</v>
      </c>
      <c r="I904" s="37">
        <f ca="1">(RANDBETWEEN($E$14,$F$14)*$I$9)+$I$10+$I$18</f>
        <v>-369472.96408399101</v>
      </c>
      <c r="J904" s="37">
        <f ca="1">(RANDBETWEEN($E$14,$F$14)*$J$9)+$J$10+$J$18</f>
        <v>-9238.8910066427197</v>
      </c>
      <c r="K904" s="37">
        <f ca="1">(RANDBETWEEN($E$14,$F$14)*$K$9)+$K$10+$K$18</f>
        <v>24363.532183028292</v>
      </c>
      <c r="L904" s="37">
        <f ca="1">(RANDBETWEEN($E$14,$F$14)*$L$9)+$L$10+$L$18</f>
        <v>999716.39339203853</v>
      </c>
      <c r="M904" s="37">
        <f ca="1">(RANDBETWEEN($E$14,$F$14)*$M$9)+$M$10+$M$18</f>
        <v>1424944.0925515993</v>
      </c>
      <c r="N904" s="37">
        <f t="shared" ref="N904" ca="1" si="870">NPV($E$23+$F$23,H904:M904)+$H$4</f>
        <v>1291369.9127910445</v>
      </c>
    </row>
    <row r="905" spans="4:17" x14ac:dyDescent="0.25">
      <c r="D905" s="33"/>
      <c r="E905" s="33">
        <v>875</v>
      </c>
      <c r="F905" s="37"/>
      <c r="G905" s="37"/>
      <c r="H905" s="37">
        <f t="shared" si="761"/>
        <v>868800</v>
      </c>
      <c r="I905" s="37">
        <f ca="1">(RANDBETWEEN($E$14,$F$14)*$I$9)+$I$10+$I$18</f>
        <v>-369472.96408399101</v>
      </c>
      <c r="J905" s="37">
        <f ca="1">(RANDBETWEEN($E$14,$F$14)*$J$9)+$J$10+$J$18</f>
        <v>221933.48456383706</v>
      </c>
      <c r="K905" s="37">
        <f ca="1">(RANDBETWEEN($E$14,$F$14)*$K$9)+$K$10+$K$18</f>
        <v>260393.25392346107</v>
      </c>
      <c r="L905" s="37">
        <f ca="1">(RANDBETWEEN($E$14,$F$14)*$L$9)+$L$10+$L$18</f>
        <v>671221.40421803342</v>
      </c>
      <c r="M905" s="37">
        <f ca="1">(RANDBETWEEN($E$14,$F$14)*$M$9)+$M$10+$M$18</f>
        <v>1424944.0925515993</v>
      </c>
      <c r="N905" s="37">
        <f t="shared" ref="N905" ca="1" si="871">NPV($E$23+$F$23,H905:M905)+$H$4</f>
        <v>1427863.1191793513</v>
      </c>
    </row>
    <row r="906" spans="4:17" x14ac:dyDescent="0.25">
      <c r="D906" s="33"/>
      <c r="E906" s="33">
        <v>876</v>
      </c>
      <c r="F906" s="37"/>
      <c r="G906" s="37"/>
      <c r="H906" s="37">
        <f t="shared" si="761"/>
        <v>868800</v>
      </c>
      <c r="I906" s="37">
        <f ca="1">(RANDBETWEEN($E$14,$F$14)*$I$9)+$I$10+$I$18</f>
        <v>-189819.59895313275</v>
      </c>
      <c r="J906" s="37">
        <f ca="1">(RANDBETWEEN($E$14,$F$14)*$J$9)+$J$10+$J$18</f>
        <v>221933.48456383706</v>
      </c>
      <c r="K906" s="37">
        <f ca="1">(RANDBETWEEN($E$14,$F$14)*$K$9)+$K$10+$K$18</f>
        <v>260393.25392346107</v>
      </c>
      <c r="L906" s="37">
        <f ca="1">(RANDBETWEEN($E$14,$F$14)*$L$9)+$L$10+$L$18</f>
        <v>671221.40421803342</v>
      </c>
      <c r="M906" s="37">
        <f ca="1">(RANDBETWEEN($E$14,$F$14)*$M$9)+$M$10+$M$18</f>
        <v>1043245.7659826493</v>
      </c>
      <c r="N906" s="37">
        <f t="shared" ref="N906" ca="1" si="872">NPV($E$23+$F$23,H906:M906)+$H$4</f>
        <v>1305984.8491010414</v>
      </c>
    </row>
    <row r="907" spans="4:17" x14ac:dyDescent="0.25">
      <c r="D907" s="33"/>
      <c r="E907" s="33">
        <v>877</v>
      </c>
      <c r="F907" s="37"/>
      <c r="G907" s="37"/>
      <c r="H907" s="37">
        <f t="shared" si="761"/>
        <v>868800</v>
      </c>
      <c r="I907" s="37">
        <f ca="1">(RANDBETWEEN($E$14,$F$14)*$I$9)+$I$10+$I$18</f>
        <v>-369472.96408399101</v>
      </c>
      <c r="J907" s="37">
        <f ca="1">(RANDBETWEEN($E$14,$F$14)*$J$9)+$J$10+$J$18</f>
        <v>-9238.8910066427197</v>
      </c>
      <c r="K907" s="37">
        <f ca="1">(RANDBETWEEN($E$14,$F$14)*$K$9)+$K$10+$K$18</f>
        <v>24363.532183028292</v>
      </c>
      <c r="L907" s="37">
        <f ca="1">(RANDBETWEEN($E$14,$F$14)*$L$9)+$L$10+$L$18</f>
        <v>671221.40421803342</v>
      </c>
      <c r="M907" s="37">
        <f ca="1">(RANDBETWEEN($E$14,$F$14)*$M$9)+$M$10+$M$18</f>
        <v>1424944.0925515993</v>
      </c>
      <c r="N907" s="37">
        <f t="shared" ref="N907" ca="1" si="873">NPV($E$23+$F$23,H907:M907)+$H$4</f>
        <v>1033985.4932194382</v>
      </c>
    </row>
    <row r="908" spans="4:17" x14ac:dyDescent="0.25">
      <c r="D908" s="33"/>
      <c r="E908" s="33">
        <v>878</v>
      </c>
      <c r="F908" s="37"/>
      <c r="G908" s="37"/>
      <c r="H908" s="37">
        <f t="shared" si="761"/>
        <v>868800</v>
      </c>
      <c r="I908" s="37">
        <f ca="1">(RANDBETWEEN($E$14,$F$14)*$I$9)+$I$10+$I$18</f>
        <v>-369472.96408399101</v>
      </c>
      <c r="J908" s="37">
        <f ca="1">(RANDBETWEEN($E$14,$F$14)*$J$9)+$J$10+$J$18</f>
        <v>-9238.8910066427197</v>
      </c>
      <c r="K908" s="37">
        <f ca="1">(RANDBETWEEN($E$14,$F$14)*$K$9)+$K$10+$K$18</f>
        <v>24363.532183028292</v>
      </c>
      <c r="L908" s="37">
        <f ca="1">(RANDBETWEEN($E$14,$F$14)*$L$9)+$L$10+$L$18</f>
        <v>999716.39339203853</v>
      </c>
      <c r="M908" s="37">
        <f ca="1">(RANDBETWEEN($E$14,$F$14)*$M$9)+$M$10+$M$18</f>
        <v>1043245.7659826493</v>
      </c>
      <c r="N908" s="37">
        <f t="shared" ref="N908" ca="1" si="874">NPV($E$23+$F$23,H908:M908)+$H$4</f>
        <v>1006540.7446348586</v>
      </c>
    </row>
    <row r="909" spans="4:17" x14ac:dyDescent="0.25">
      <c r="D909" s="33"/>
      <c r="E909" s="33">
        <v>879</v>
      </c>
      <c r="F909" s="37"/>
      <c r="G909" s="37"/>
      <c r="H909" s="37">
        <f t="shared" si="761"/>
        <v>868800</v>
      </c>
      <c r="I909" s="37">
        <f ca="1">(RANDBETWEEN($E$14,$F$14)*$I$9)+$I$10+$I$18</f>
        <v>-189819.59895313275</v>
      </c>
      <c r="J909" s="37">
        <f ca="1">(RANDBETWEEN($E$14,$F$14)*$J$9)+$J$10+$J$18</f>
        <v>-9238.8910066427197</v>
      </c>
      <c r="K909" s="37">
        <f ca="1">(RANDBETWEEN($E$14,$F$14)*$K$9)+$K$10+$K$18</f>
        <v>24363.532183028292</v>
      </c>
      <c r="L909" s="37">
        <f ca="1">(RANDBETWEEN($E$14,$F$14)*$L$9)+$L$10+$L$18</f>
        <v>671221.40421803342</v>
      </c>
      <c r="M909" s="37">
        <f ca="1">(RANDBETWEEN($E$14,$F$14)*$M$9)+$M$10+$M$18</f>
        <v>1424944.0925515993</v>
      </c>
      <c r="N909" s="37">
        <f t="shared" ref="N909" ca="1" si="875">NPV($E$23+$F$23,H909:M909)+$H$4</f>
        <v>1196936.3912973143</v>
      </c>
    </row>
    <row r="910" spans="4:17" x14ac:dyDescent="0.25">
      <c r="D910" s="33"/>
      <c r="E910" s="33">
        <v>880</v>
      </c>
      <c r="F910" s="37"/>
      <c r="G910" s="37"/>
      <c r="H910" s="37">
        <f t="shared" si="761"/>
        <v>868800</v>
      </c>
      <c r="I910" s="37">
        <f ca="1">(RANDBETWEEN($E$14,$F$14)*$I$9)+$I$10+$I$18</f>
        <v>-189819.59895313275</v>
      </c>
      <c r="J910" s="37">
        <f ca="1">(RANDBETWEEN($E$14,$F$14)*$J$9)+$J$10+$J$18</f>
        <v>-9238.8910066427197</v>
      </c>
      <c r="K910" s="37">
        <f ca="1">(RANDBETWEEN($E$14,$F$14)*$K$9)+$K$10+$K$18</f>
        <v>260393.25392346107</v>
      </c>
      <c r="L910" s="37">
        <f ca="1">(RANDBETWEEN($E$14,$F$14)*$L$9)+$L$10+$L$18</f>
        <v>999716.39339203853</v>
      </c>
      <c r="M910" s="37">
        <f ca="1">(RANDBETWEEN($E$14,$F$14)*$M$9)+$M$10+$M$18</f>
        <v>1424944.0925515993</v>
      </c>
      <c r="N910" s="37">
        <f t="shared" ref="N910" ca="1" si="876">NPV($E$23+$F$23,H910:M910)+$H$4</f>
        <v>1648503.0470692138</v>
      </c>
    </row>
    <row r="911" spans="4:17" x14ac:dyDescent="0.25">
      <c r="D911" s="33"/>
      <c r="E911" s="33">
        <v>881</v>
      </c>
      <c r="F911" s="37"/>
      <c r="G911" s="37"/>
      <c r="H911" s="37">
        <f t="shared" si="761"/>
        <v>868800</v>
      </c>
      <c r="I911" s="37">
        <f ca="1">(RANDBETWEEN($E$14,$F$14)*$I$9)+$I$10+$I$18</f>
        <v>-189819.59895313275</v>
      </c>
      <c r="J911" s="37">
        <f ca="1">(RANDBETWEEN($E$14,$F$14)*$J$9)+$J$10+$J$18</f>
        <v>-9238.8910066427197</v>
      </c>
      <c r="K911" s="37">
        <f ca="1">(RANDBETWEEN($E$14,$F$14)*$K$9)+$K$10+$K$18</f>
        <v>260393.25392346107</v>
      </c>
      <c r="L911" s="37">
        <f ca="1">(RANDBETWEEN($E$14,$F$14)*$L$9)+$L$10+$L$18</f>
        <v>671221.40421803342</v>
      </c>
      <c r="M911" s="37">
        <f ca="1">(RANDBETWEEN($E$14,$F$14)*$M$9)+$M$10+$M$18</f>
        <v>1424944.0925515993</v>
      </c>
      <c r="N911" s="37">
        <f t="shared" ref="N911" ca="1" si="877">NPV($E$23+$F$23,H911:M911)+$H$4</f>
        <v>1391118.6274976074</v>
      </c>
    </row>
    <row r="912" spans="4:17" x14ac:dyDescent="0.25">
      <c r="D912" s="33"/>
      <c r="E912" s="33">
        <v>882</v>
      </c>
      <c r="F912" s="37"/>
      <c r="G912" s="37"/>
      <c r="H912" s="37">
        <f t="shared" si="761"/>
        <v>868800</v>
      </c>
      <c r="I912" s="37">
        <f ca="1">(RANDBETWEEN($E$14,$F$14)*$I$9)+$I$10+$I$18</f>
        <v>-189819.59895313275</v>
      </c>
      <c r="J912" s="37">
        <f ca="1">(RANDBETWEEN($E$14,$F$14)*$J$9)+$J$10+$J$18</f>
        <v>221933.48456383706</v>
      </c>
      <c r="K912" s="37">
        <f ca="1">(RANDBETWEEN($E$14,$F$14)*$K$9)+$K$10+$K$18</f>
        <v>24363.532183028292</v>
      </c>
      <c r="L912" s="37">
        <f ca="1">(RANDBETWEEN($E$14,$F$14)*$L$9)+$L$10+$L$18</f>
        <v>671221.40421803342</v>
      </c>
      <c r="M912" s="37">
        <f ca="1">(RANDBETWEEN($E$14,$F$14)*$M$9)+$M$10+$M$18</f>
        <v>1424944.0925515993</v>
      </c>
      <c r="N912" s="37">
        <f t="shared" ref="N912" ca="1" si="878">NPV($E$23+$F$23,H912:M912)+$H$4</f>
        <v>1396631.7810569336</v>
      </c>
    </row>
    <row r="913" spans="4:17" x14ac:dyDescent="0.25">
      <c r="D913" s="33"/>
      <c r="E913" s="33">
        <v>883</v>
      </c>
      <c r="F913" s="37"/>
      <c r="G913" s="37"/>
      <c r="H913" s="37">
        <f t="shared" si="761"/>
        <v>868800</v>
      </c>
      <c r="I913" s="37">
        <f ca="1">(RANDBETWEEN($E$14,$F$14)*$I$9)+$I$10+$I$18</f>
        <v>-189819.59895313275</v>
      </c>
      <c r="J913" s="37">
        <f ca="1">(RANDBETWEEN($E$14,$F$14)*$J$9)+$J$10+$J$18</f>
        <v>-9238.8910066427197</v>
      </c>
      <c r="K913" s="37">
        <f ca="1">(RANDBETWEEN($E$14,$F$14)*$K$9)+$K$10+$K$18</f>
        <v>24363.532183028292</v>
      </c>
      <c r="L913" s="37">
        <f ca="1">(RANDBETWEEN($E$14,$F$14)*$L$9)+$L$10+$L$18</f>
        <v>671221.40421803342</v>
      </c>
      <c r="M913" s="37">
        <f ca="1">(RANDBETWEEN($E$14,$F$14)*$M$9)+$M$10+$M$18</f>
        <v>1424944.0925515993</v>
      </c>
      <c r="N913" s="37">
        <f t="shared" ref="N913" ca="1" si="879">NPV($E$23+$F$23,H913:M913)+$H$4</f>
        <v>1196936.3912973143</v>
      </c>
    </row>
    <row r="914" spans="4:17" x14ac:dyDescent="0.25">
      <c r="D914" s="33"/>
      <c r="E914" s="33">
        <v>884</v>
      </c>
      <c r="F914" s="37"/>
      <c r="G914" s="37"/>
      <c r="H914" s="37">
        <f t="shared" si="761"/>
        <v>868800</v>
      </c>
      <c r="I914" s="37">
        <f ca="1">(RANDBETWEEN($E$14,$F$14)*$I$9)+$I$10+$I$18</f>
        <v>-189819.59895313275</v>
      </c>
      <c r="J914" s="37">
        <f ca="1">(RANDBETWEEN($E$14,$F$14)*$J$9)+$J$10+$J$18</f>
        <v>-9238.8910066427197</v>
      </c>
      <c r="K914" s="37">
        <f ca="1">(RANDBETWEEN($E$14,$F$14)*$K$9)+$K$10+$K$18</f>
        <v>260393.25392346107</v>
      </c>
      <c r="L914" s="37">
        <f ca="1">(RANDBETWEEN($E$14,$F$14)*$L$9)+$L$10+$L$18</f>
        <v>671221.40421803342</v>
      </c>
      <c r="M914" s="37">
        <f ca="1">(RANDBETWEEN($E$14,$F$14)*$M$9)+$M$10+$M$18</f>
        <v>1424944.0925515993</v>
      </c>
      <c r="N914" s="37">
        <f t="shared" ref="N914" ca="1" si="880">NPV($E$23+$F$23,H914:M914)+$H$4</f>
        <v>1391118.6274976074</v>
      </c>
    </row>
    <row r="915" spans="4:17" x14ac:dyDescent="0.25">
      <c r="D915" s="33"/>
      <c r="E915" s="33">
        <v>885</v>
      </c>
      <c r="F915" s="37"/>
      <c r="G915" s="37"/>
      <c r="H915" s="37">
        <f t="shared" si="761"/>
        <v>868800</v>
      </c>
      <c r="I915" s="37">
        <f ca="1">(RANDBETWEEN($E$14,$F$14)*$I$9)+$I$10+$I$18</f>
        <v>-369472.96408399101</v>
      </c>
      <c r="J915" s="37">
        <f ca="1">(RANDBETWEEN($E$14,$F$14)*$J$9)+$J$10+$J$18</f>
        <v>221933.48456383706</v>
      </c>
      <c r="K915" s="37">
        <f ca="1">(RANDBETWEEN($E$14,$F$14)*$K$9)+$K$10+$K$18</f>
        <v>260393.25392346107</v>
      </c>
      <c r="L915" s="37">
        <f ca="1">(RANDBETWEEN($E$14,$F$14)*$L$9)+$L$10+$L$18</f>
        <v>671221.40421803342</v>
      </c>
      <c r="M915" s="37">
        <f ca="1">(RANDBETWEEN($E$14,$F$14)*$M$9)+$M$10+$M$18</f>
        <v>1043245.7659826493</v>
      </c>
      <c r="N915" s="37">
        <f t="shared" ref="N915" ca="1" si="881">NPV($E$23+$F$23,H915:M915)+$H$4</f>
        <v>1143033.9510231656</v>
      </c>
      <c r="Q915" s="37"/>
    </row>
    <row r="916" spans="4:17" x14ac:dyDescent="0.25">
      <c r="D916" s="33"/>
      <c r="E916" s="33">
        <v>886</v>
      </c>
      <c r="F916" s="37"/>
      <c r="G916" s="37"/>
      <c r="H916" s="37">
        <f t="shared" si="761"/>
        <v>868800</v>
      </c>
      <c r="I916" s="37">
        <f ca="1">(RANDBETWEEN($E$14,$F$14)*$I$9)+$I$10+$I$18</f>
        <v>-369472.96408399101</v>
      </c>
      <c r="J916" s="37">
        <f ca="1">(RANDBETWEEN($E$14,$F$14)*$J$9)+$J$10+$J$18</f>
        <v>221933.48456383706</v>
      </c>
      <c r="K916" s="37">
        <f ca="1">(RANDBETWEEN($E$14,$F$14)*$K$9)+$K$10+$K$18</f>
        <v>24363.532183028292</v>
      </c>
      <c r="L916" s="37">
        <f ca="1">(RANDBETWEEN($E$14,$F$14)*$L$9)+$L$10+$L$18</f>
        <v>999716.39339203853</v>
      </c>
      <c r="M916" s="37">
        <f ca="1">(RANDBETWEEN($E$14,$F$14)*$M$9)+$M$10+$M$18</f>
        <v>1043245.7659826493</v>
      </c>
      <c r="N916" s="37">
        <f t="shared" ref="N916" ca="1" si="882">NPV($E$23+$F$23,H916:M916)+$H$4</f>
        <v>1206236.1343944785</v>
      </c>
    </row>
    <row r="917" spans="4:17" x14ac:dyDescent="0.25">
      <c r="D917" s="33"/>
      <c r="E917" s="33">
        <v>887</v>
      </c>
      <c r="F917" s="37"/>
      <c r="G917" s="37"/>
      <c r="H917" s="37">
        <f t="shared" si="761"/>
        <v>868800</v>
      </c>
      <c r="I917" s="37">
        <f ca="1">(RANDBETWEEN($E$14,$F$14)*$I$9)+$I$10+$I$18</f>
        <v>-189819.59895313275</v>
      </c>
      <c r="J917" s="37">
        <f ca="1">(RANDBETWEEN($E$14,$F$14)*$J$9)+$J$10+$J$18</f>
        <v>221933.48456383706</v>
      </c>
      <c r="K917" s="37">
        <f ca="1">(RANDBETWEEN($E$14,$F$14)*$K$9)+$K$10+$K$18</f>
        <v>24363.532183028292</v>
      </c>
      <c r="L917" s="37">
        <f ca="1">(RANDBETWEEN($E$14,$F$14)*$L$9)+$L$10+$L$18</f>
        <v>671221.40421803342</v>
      </c>
      <c r="M917" s="37">
        <f ca="1">(RANDBETWEEN($E$14,$F$14)*$M$9)+$M$10+$M$18</f>
        <v>1043245.7659826493</v>
      </c>
      <c r="N917" s="37">
        <f t="shared" ref="N917" ca="1" si="883">NPV($E$23+$F$23,H917:M917)+$H$4</f>
        <v>1111802.6129007479</v>
      </c>
    </row>
    <row r="918" spans="4:17" x14ac:dyDescent="0.25">
      <c r="D918" s="33"/>
      <c r="E918" s="33">
        <v>888</v>
      </c>
      <c r="F918" s="37"/>
      <c r="G918" s="37"/>
      <c r="H918" s="37">
        <f t="shared" si="761"/>
        <v>868800</v>
      </c>
      <c r="I918" s="37">
        <f ca="1">(RANDBETWEEN($E$14,$F$14)*$I$9)+$I$10+$I$18</f>
        <v>-189819.59895313275</v>
      </c>
      <c r="J918" s="37">
        <f ca="1">(RANDBETWEEN($E$14,$F$14)*$J$9)+$J$10+$J$18</f>
        <v>-9238.8910066427197</v>
      </c>
      <c r="K918" s="37">
        <f ca="1">(RANDBETWEEN($E$14,$F$14)*$K$9)+$K$10+$K$18</f>
        <v>24363.532183028292</v>
      </c>
      <c r="L918" s="37">
        <f ca="1">(RANDBETWEEN($E$14,$F$14)*$L$9)+$L$10+$L$18</f>
        <v>671221.40421803342</v>
      </c>
      <c r="M918" s="37">
        <f ca="1">(RANDBETWEEN($E$14,$F$14)*$M$9)+$M$10+$M$18</f>
        <v>1043245.7659826493</v>
      </c>
      <c r="N918" s="37">
        <f t="shared" ref="N918" ca="1" si="884">NPV($E$23+$F$23,H918:M918)+$H$4</f>
        <v>912107.22314112843</v>
      </c>
    </row>
    <row r="919" spans="4:17" x14ac:dyDescent="0.25">
      <c r="D919" s="33"/>
      <c r="E919" s="33">
        <v>889</v>
      </c>
      <c r="F919" s="37"/>
      <c r="G919" s="37"/>
      <c r="H919" s="37">
        <f t="shared" si="761"/>
        <v>868800</v>
      </c>
      <c r="I919" s="37">
        <f ca="1">(RANDBETWEEN($E$14,$F$14)*$I$9)+$I$10+$I$18</f>
        <v>-189819.59895313275</v>
      </c>
      <c r="J919" s="37">
        <f ca="1">(RANDBETWEEN($E$14,$F$14)*$J$9)+$J$10+$J$18</f>
        <v>-9238.8910066427197</v>
      </c>
      <c r="K919" s="37">
        <f ca="1">(RANDBETWEEN($E$14,$F$14)*$K$9)+$K$10+$K$18</f>
        <v>260393.25392346107</v>
      </c>
      <c r="L919" s="37">
        <f ca="1">(RANDBETWEEN($E$14,$F$14)*$L$9)+$L$10+$L$18</f>
        <v>671221.40421803342</v>
      </c>
      <c r="M919" s="37">
        <f ca="1">(RANDBETWEEN($E$14,$F$14)*$M$9)+$M$10+$M$18</f>
        <v>1424944.0925515993</v>
      </c>
      <c r="N919" s="37">
        <f t="shared" ref="N919" ca="1" si="885">NPV($E$23+$F$23,H919:M919)+$H$4</f>
        <v>1391118.6274976074</v>
      </c>
    </row>
    <row r="920" spans="4:17" x14ac:dyDescent="0.25">
      <c r="D920" s="33"/>
      <c r="E920" s="33">
        <v>890</v>
      </c>
      <c r="F920" s="37"/>
      <c r="G920" s="37"/>
      <c r="H920" s="37">
        <f t="shared" si="761"/>
        <v>868800</v>
      </c>
      <c r="I920" s="37">
        <f ca="1">(RANDBETWEEN($E$14,$F$14)*$I$9)+$I$10+$I$18</f>
        <v>-369472.96408399101</v>
      </c>
      <c r="J920" s="37">
        <f ca="1">(RANDBETWEEN($E$14,$F$14)*$J$9)+$J$10+$J$18</f>
        <v>-9238.8910066427197</v>
      </c>
      <c r="K920" s="37">
        <f ca="1">(RANDBETWEEN($E$14,$F$14)*$K$9)+$K$10+$K$18</f>
        <v>24363.532183028292</v>
      </c>
      <c r="L920" s="37">
        <f ca="1">(RANDBETWEEN($E$14,$F$14)*$L$9)+$L$10+$L$18</f>
        <v>671221.40421803342</v>
      </c>
      <c r="M920" s="37">
        <f ca="1">(RANDBETWEEN($E$14,$F$14)*$M$9)+$M$10+$M$18</f>
        <v>1424944.0925515993</v>
      </c>
      <c r="N920" s="37">
        <f t="shared" ref="N920" ca="1" si="886">NPV($E$23+$F$23,H920:M920)+$H$4</f>
        <v>1033985.4932194382</v>
      </c>
    </row>
    <row r="921" spans="4:17" x14ac:dyDescent="0.25">
      <c r="D921" s="33"/>
      <c r="E921" s="33">
        <v>891</v>
      </c>
      <c r="F921" s="37"/>
      <c r="G921" s="37"/>
      <c r="H921" s="37">
        <f t="shared" si="761"/>
        <v>868800</v>
      </c>
      <c r="I921" s="37">
        <f ca="1">(RANDBETWEEN($E$14,$F$14)*$I$9)+$I$10+$I$18</f>
        <v>-189819.59895313275</v>
      </c>
      <c r="J921" s="37">
        <f ca="1">(RANDBETWEEN($E$14,$F$14)*$J$9)+$J$10+$J$18</f>
        <v>-9238.8910066427197</v>
      </c>
      <c r="K921" s="37">
        <f ca="1">(RANDBETWEEN($E$14,$F$14)*$K$9)+$K$10+$K$18</f>
        <v>260393.25392346107</v>
      </c>
      <c r="L921" s="37">
        <f ca="1">(RANDBETWEEN($E$14,$F$14)*$L$9)+$L$10+$L$18</f>
        <v>999716.39339203853</v>
      </c>
      <c r="M921" s="37">
        <f ca="1">(RANDBETWEEN($E$14,$F$14)*$M$9)+$M$10+$M$18</f>
        <v>1043245.7659826493</v>
      </c>
      <c r="N921" s="37">
        <f t="shared" ref="N921" ca="1" si="887">NPV($E$23+$F$23,H921:M921)+$H$4</f>
        <v>1363673.8789130282</v>
      </c>
    </row>
    <row r="922" spans="4:17" x14ac:dyDescent="0.25">
      <c r="D922" s="33"/>
      <c r="E922" s="33">
        <v>892</v>
      </c>
      <c r="F922" s="37"/>
      <c r="G922" s="37"/>
      <c r="H922" s="37">
        <f t="shared" si="761"/>
        <v>868800</v>
      </c>
      <c r="I922" s="37">
        <f ca="1">(RANDBETWEEN($E$14,$F$14)*$I$9)+$I$10+$I$18</f>
        <v>-369472.96408399101</v>
      </c>
      <c r="J922" s="37">
        <f ca="1">(RANDBETWEEN($E$14,$F$14)*$J$9)+$J$10+$J$18</f>
        <v>221933.48456383706</v>
      </c>
      <c r="K922" s="37">
        <f ca="1">(RANDBETWEEN($E$14,$F$14)*$K$9)+$K$10+$K$18</f>
        <v>24363.532183028292</v>
      </c>
      <c r="L922" s="37">
        <f ca="1">(RANDBETWEEN($E$14,$F$14)*$L$9)+$L$10+$L$18</f>
        <v>999716.39339203853</v>
      </c>
      <c r="M922" s="37">
        <f ca="1">(RANDBETWEEN($E$14,$F$14)*$M$9)+$M$10+$M$18</f>
        <v>1424944.0925515993</v>
      </c>
      <c r="N922" s="37">
        <f t="shared" ref="N922" ca="1" si="888">NPV($E$23+$F$23,H922:M922)+$H$4</f>
        <v>1491065.3025506642</v>
      </c>
    </row>
    <row r="923" spans="4:17" x14ac:dyDescent="0.25">
      <c r="D923" s="33"/>
      <c r="E923" s="33">
        <v>893</v>
      </c>
      <c r="F923" s="37"/>
      <c r="G923" s="37"/>
      <c r="H923" s="37">
        <f t="shared" si="761"/>
        <v>868800</v>
      </c>
      <c r="I923" s="37">
        <f ca="1">(RANDBETWEEN($E$14,$F$14)*$I$9)+$I$10+$I$18</f>
        <v>-189819.59895313275</v>
      </c>
      <c r="J923" s="37">
        <f ca="1">(RANDBETWEEN($E$14,$F$14)*$J$9)+$J$10+$J$18</f>
        <v>221933.48456383706</v>
      </c>
      <c r="K923" s="37">
        <f ca="1">(RANDBETWEEN($E$14,$F$14)*$K$9)+$K$10+$K$18</f>
        <v>260393.25392346107</v>
      </c>
      <c r="L923" s="37">
        <f ca="1">(RANDBETWEEN($E$14,$F$14)*$L$9)+$L$10+$L$18</f>
        <v>671221.40421803342</v>
      </c>
      <c r="M923" s="37">
        <f ca="1">(RANDBETWEEN($E$14,$F$14)*$M$9)+$M$10+$M$18</f>
        <v>1424944.0925515993</v>
      </c>
      <c r="N923" s="37">
        <f t="shared" ref="N923" ca="1" si="889">NPV($E$23+$F$23,H923:M923)+$H$4</f>
        <v>1590814.0172572271</v>
      </c>
    </row>
    <row r="924" spans="4:17" x14ac:dyDescent="0.25">
      <c r="D924" s="33"/>
      <c r="E924" s="33">
        <v>894</v>
      </c>
      <c r="F924" s="37"/>
      <c r="G924" s="37"/>
      <c r="H924" s="37">
        <f t="shared" si="761"/>
        <v>868800</v>
      </c>
      <c r="I924" s="37">
        <f ca="1">(RANDBETWEEN($E$14,$F$14)*$I$9)+$I$10+$I$18</f>
        <v>-189819.59895313275</v>
      </c>
      <c r="J924" s="37">
        <f ca="1">(RANDBETWEEN($E$14,$F$14)*$J$9)+$J$10+$J$18</f>
        <v>221933.48456383706</v>
      </c>
      <c r="K924" s="37">
        <f ca="1">(RANDBETWEEN($E$14,$F$14)*$K$9)+$K$10+$K$18</f>
        <v>260393.25392346107</v>
      </c>
      <c r="L924" s="37">
        <f ca="1">(RANDBETWEEN($E$14,$F$14)*$L$9)+$L$10+$L$18</f>
        <v>671221.40421803342</v>
      </c>
      <c r="M924" s="37">
        <f ca="1">(RANDBETWEEN($E$14,$F$14)*$M$9)+$M$10+$M$18</f>
        <v>1043245.7659826493</v>
      </c>
      <c r="N924" s="37">
        <f t="shared" ref="N924" ca="1" si="890">NPV($E$23+$F$23,H924:M924)+$H$4</f>
        <v>1305984.8491010414</v>
      </c>
    </row>
    <row r="925" spans="4:17" x14ac:dyDescent="0.25">
      <c r="D925" s="33"/>
      <c r="E925" s="33">
        <v>895</v>
      </c>
      <c r="F925" s="37"/>
      <c r="G925" s="37"/>
      <c r="H925" s="37">
        <f t="shared" si="761"/>
        <v>868800</v>
      </c>
      <c r="I925" s="37">
        <f ca="1">(RANDBETWEEN($E$14,$F$14)*$I$9)+$I$10+$I$18</f>
        <v>-189819.59895313275</v>
      </c>
      <c r="J925" s="37">
        <f ca="1">(RANDBETWEEN($E$14,$F$14)*$J$9)+$J$10+$J$18</f>
        <v>221933.48456383706</v>
      </c>
      <c r="K925" s="37">
        <f ca="1">(RANDBETWEEN($E$14,$F$14)*$K$9)+$K$10+$K$18</f>
        <v>260393.25392346107</v>
      </c>
      <c r="L925" s="37">
        <f ca="1">(RANDBETWEEN($E$14,$F$14)*$L$9)+$L$10+$L$18</f>
        <v>671221.40421803342</v>
      </c>
      <c r="M925" s="37">
        <f ca="1">(RANDBETWEEN($E$14,$F$14)*$M$9)+$M$10+$M$18</f>
        <v>1043245.7659826493</v>
      </c>
      <c r="N925" s="37">
        <f t="shared" ref="N925" ca="1" si="891">NPV($E$23+$F$23,H925:M925)+$H$4</f>
        <v>1305984.8491010414</v>
      </c>
    </row>
    <row r="926" spans="4:17" x14ac:dyDescent="0.25">
      <c r="D926" s="33"/>
      <c r="E926" s="33">
        <v>896</v>
      </c>
      <c r="F926" s="37"/>
      <c r="G926" s="37"/>
      <c r="H926" s="37">
        <f t="shared" si="761"/>
        <v>868800</v>
      </c>
      <c r="I926" s="37">
        <f ca="1">(RANDBETWEEN($E$14,$F$14)*$I$9)+$I$10+$I$18</f>
        <v>-189819.59895313275</v>
      </c>
      <c r="J926" s="37">
        <f ca="1">(RANDBETWEEN($E$14,$F$14)*$J$9)+$J$10+$J$18</f>
        <v>221933.48456383706</v>
      </c>
      <c r="K926" s="37">
        <f ca="1">(RANDBETWEEN($E$14,$F$14)*$K$9)+$K$10+$K$18</f>
        <v>24363.532183028292</v>
      </c>
      <c r="L926" s="37">
        <f ca="1">(RANDBETWEEN($E$14,$F$14)*$L$9)+$L$10+$L$18</f>
        <v>671221.40421803342</v>
      </c>
      <c r="M926" s="37">
        <f ca="1">(RANDBETWEEN($E$14,$F$14)*$M$9)+$M$10+$M$18</f>
        <v>1043245.7659826493</v>
      </c>
      <c r="N926" s="37">
        <f t="shared" ref="N926" ca="1" si="892">NPV($E$23+$F$23,H926:M926)+$H$4</f>
        <v>1111802.6129007479</v>
      </c>
    </row>
    <row r="927" spans="4:17" x14ac:dyDescent="0.25">
      <c r="D927" s="33"/>
      <c r="E927" s="33">
        <v>897</v>
      </c>
      <c r="F927" s="37"/>
      <c r="G927" s="37"/>
      <c r="H927" s="37">
        <f t="shared" si="761"/>
        <v>868800</v>
      </c>
      <c r="I927" s="37">
        <f ca="1">(RANDBETWEEN($E$14,$F$14)*$I$9)+$I$10+$I$18</f>
        <v>-369472.96408399101</v>
      </c>
      <c r="J927" s="37">
        <f ca="1">(RANDBETWEEN($E$14,$F$14)*$J$9)+$J$10+$J$18</f>
        <v>-9238.8910066427197</v>
      </c>
      <c r="K927" s="37">
        <f ca="1">(RANDBETWEEN($E$14,$F$14)*$K$9)+$K$10+$K$18</f>
        <v>24363.532183028292</v>
      </c>
      <c r="L927" s="37">
        <f ca="1">(RANDBETWEEN($E$14,$F$14)*$L$9)+$L$10+$L$18</f>
        <v>999716.39339203853</v>
      </c>
      <c r="M927" s="37">
        <f ca="1">(RANDBETWEEN($E$14,$F$14)*$M$9)+$M$10+$M$18</f>
        <v>1043245.7659826493</v>
      </c>
      <c r="N927" s="37">
        <f t="shared" ref="N927" ca="1" si="893">NPV($E$23+$F$23,H927:M927)+$H$4</f>
        <v>1006540.7446348586</v>
      </c>
    </row>
    <row r="928" spans="4:17" x14ac:dyDescent="0.25">
      <c r="D928" s="33"/>
      <c r="E928" s="33">
        <v>898</v>
      </c>
      <c r="F928" s="37"/>
      <c r="G928" s="37"/>
      <c r="H928" s="37">
        <f t="shared" si="761"/>
        <v>868800</v>
      </c>
      <c r="I928" s="37">
        <f ca="1">(RANDBETWEEN($E$14,$F$14)*$I$9)+$I$10+$I$18</f>
        <v>-369472.96408399101</v>
      </c>
      <c r="J928" s="37">
        <f ca="1">(RANDBETWEEN($E$14,$F$14)*$J$9)+$J$10+$J$18</f>
        <v>221933.48456383706</v>
      </c>
      <c r="K928" s="37">
        <f ca="1">(RANDBETWEEN($E$14,$F$14)*$K$9)+$K$10+$K$18</f>
        <v>260393.25392346107</v>
      </c>
      <c r="L928" s="37">
        <f ca="1">(RANDBETWEEN($E$14,$F$14)*$L$9)+$L$10+$L$18</f>
        <v>999716.39339203853</v>
      </c>
      <c r="M928" s="37">
        <f ca="1">(RANDBETWEEN($E$14,$F$14)*$M$9)+$M$10+$M$18</f>
        <v>1043245.7659826493</v>
      </c>
      <c r="N928" s="37">
        <f t="shared" ref="N928" ca="1" si="894">NPV($E$23+$F$23,H928:M928)+$H$4</f>
        <v>1400418.3705947716</v>
      </c>
    </row>
    <row r="929" spans="4:14" x14ac:dyDescent="0.25">
      <c r="D929" s="33"/>
      <c r="E929" s="33">
        <v>899</v>
      </c>
      <c r="F929" s="37"/>
      <c r="G929" s="37"/>
      <c r="H929" s="37">
        <f t="shared" si="761"/>
        <v>868800</v>
      </c>
      <c r="I929" s="37">
        <f ca="1">(RANDBETWEEN($E$14,$F$14)*$I$9)+$I$10+$I$18</f>
        <v>-369472.96408399101</v>
      </c>
      <c r="J929" s="37">
        <f ca="1">(RANDBETWEEN($E$14,$F$14)*$J$9)+$J$10+$J$18</f>
        <v>-9238.8910066427197</v>
      </c>
      <c r="K929" s="37">
        <f ca="1">(RANDBETWEEN($E$14,$F$14)*$K$9)+$K$10+$K$18</f>
        <v>24363.532183028292</v>
      </c>
      <c r="L929" s="37">
        <f ca="1">(RANDBETWEEN($E$14,$F$14)*$L$9)+$L$10+$L$18</f>
        <v>999716.39339203853</v>
      </c>
      <c r="M929" s="37">
        <f ca="1">(RANDBETWEEN($E$14,$F$14)*$M$9)+$M$10+$M$18</f>
        <v>1043245.7659826493</v>
      </c>
      <c r="N929" s="37">
        <f t="shared" ref="N929" ca="1" si="895">NPV($E$23+$F$23,H929:M929)+$H$4</f>
        <v>1006540.7446348586</v>
      </c>
    </row>
    <row r="930" spans="4:14" x14ac:dyDescent="0.25">
      <c r="D930" s="33"/>
      <c r="E930" s="33">
        <v>900</v>
      </c>
      <c r="F930" s="37"/>
      <c r="G930" s="37"/>
      <c r="H930" s="37">
        <f t="shared" si="761"/>
        <v>868800</v>
      </c>
      <c r="I930" s="37">
        <f ca="1">(RANDBETWEEN($E$14,$F$14)*$I$9)+$I$10+$I$18</f>
        <v>-189819.59895313275</v>
      </c>
      <c r="J930" s="37">
        <f ca="1">(RANDBETWEEN($E$14,$F$14)*$J$9)+$J$10+$J$18</f>
        <v>-9238.8910066427197</v>
      </c>
      <c r="K930" s="37">
        <f ca="1">(RANDBETWEEN($E$14,$F$14)*$K$9)+$K$10+$K$18</f>
        <v>260393.25392346107</v>
      </c>
      <c r="L930" s="37">
        <f ca="1">(RANDBETWEEN($E$14,$F$14)*$L$9)+$L$10+$L$18</f>
        <v>999716.39339203853</v>
      </c>
      <c r="M930" s="37">
        <f ca="1">(RANDBETWEEN($E$14,$F$14)*$M$9)+$M$10+$M$18</f>
        <v>1424944.0925515993</v>
      </c>
      <c r="N930" s="37">
        <f t="shared" ref="N930" ca="1" si="896">NPV($E$23+$F$23,H930:M930)+$H$4</f>
        <v>1648503.0470692138</v>
      </c>
    </row>
    <row r="931" spans="4:14" x14ac:dyDescent="0.25">
      <c r="D931" s="33"/>
      <c r="E931" s="33">
        <v>901</v>
      </c>
      <c r="F931" s="37"/>
      <c r="G931" s="37"/>
      <c r="H931" s="37">
        <f t="shared" si="761"/>
        <v>868800</v>
      </c>
      <c r="I931" s="37">
        <f ca="1">(RANDBETWEEN($E$14,$F$14)*$I$9)+$I$10+$I$18</f>
        <v>-369472.96408399101</v>
      </c>
      <c r="J931" s="37">
        <f ca="1">(RANDBETWEEN($E$14,$F$14)*$J$9)+$J$10+$J$18</f>
        <v>221933.48456383706</v>
      </c>
      <c r="K931" s="37">
        <f ca="1">(RANDBETWEEN($E$14,$F$14)*$K$9)+$K$10+$K$18</f>
        <v>24363.532183028292</v>
      </c>
      <c r="L931" s="37">
        <f ca="1">(RANDBETWEEN($E$14,$F$14)*$L$9)+$L$10+$L$18</f>
        <v>999716.39339203853</v>
      </c>
      <c r="M931" s="37">
        <f ca="1">(RANDBETWEEN($E$14,$F$14)*$M$9)+$M$10+$M$18</f>
        <v>1043245.7659826493</v>
      </c>
      <c r="N931" s="37">
        <f t="shared" ref="N931" ca="1" si="897">NPV($E$23+$F$23,H931:M931)+$H$4</f>
        <v>1206236.1343944785</v>
      </c>
    </row>
    <row r="932" spans="4:14" x14ac:dyDescent="0.25">
      <c r="D932" s="33"/>
      <c r="E932" s="33">
        <v>902</v>
      </c>
      <c r="F932" s="37"/>
      <c r="G932" s="37"/>
      <c r="H932" s="37">
        <f t="shared" si="761"/>
        <v>868800</v>
      </c>
      <c r="I932" s="37">
        <f ca="1">(RANDBETWEEN($E$14,$F$14)*$I$9)+$I$10+$I$18</f>
        <v>-369472.96408399101</v>
      </c>
      <c r="J932" s="37">
        <f ca="1">(RANDBETWEEN($E$14,$F$14)*$J$9)+$J$10+$J$18</f>
        <v>221933.48456383706</v>
      </c>
      <c r="K932" s="37">
        <f ca="1">(RANDBETWEEN($E$14,$F$14)*$K$9)+$K$10+$K$18</f>
        <v>260393.25392346107</v>
      </c>
      <c r="L932" s="37">
        <f ca="1">(RANDBETWEEN($E$14,$F$14)*$L$9)+$L$10+$L$18</f>
        <v>999716.39339203853</v>
      </c>
      <c r="M932" s="37">
        <f ca="1">(RANDBETWEEN($E$14,$F$14)*$M$9)+$M$10+$M$18</f>
        <v>1424944.0925515993</v>
      </c>
      <c r="N932" s="37">
        <f t="shared" ref="N932" ca="1" si="898">NPV($E$23+$F$23,H932:M932)+$H$4</f>
        <v>1685247.5387509572</v>
      </c>
    </row>
    <row r="933" spans="4:14" x14ac:dyDescent="0.25">
      <c r="D933" s="33"/>
      <c r="E933" s="33">
        <v>903</v>
      </c>
      <c r="F933" s="37"/>
      <c r="G933" s="37"/>
      <c r="H933" s="37">
        <f t="shared" si="761"/>
        <v>868800</v>
      </c>
      <c r="I933" s="37">
        <f ca="1">(RANDBETWEEN($E$14,$F$14)*$I$9)+$I$10+$I$18</f>
        <v>-369472.96408399101</v>
      </c>
      <c r="J933" s="37">
        <f ca="1">(RANDBETWEEN($E$14,$F$14)*$J$9)+$J$10+$J$18</f>
        <v>221933.48456383706</v>
      </c>
      <c r="K933" s="37">
        <f ca="1">(RANDBETWEEN($E$14,$F$14)*$K$9)+$K$10+$K$18</f>
        <v>260393.25392346107</v>
      </c>
      <c r="L933" s="37">
        <f ca="1">(RANDBETWEEN($E$14,$F$14)*$L$9)+$L$10+$L$18</f>
        <v>671221.40421803342</v>
      </c>
      <c r="M933" s="37">
        <f ca="1">(RANDBETWEEN($E$14,$F$14)*$M$9)+$M$10+$M$18</f>
        <v>1043245.7659826493</v>
      </c>
      <c r="N933" s="37">
        <f t="shared" ref="N933" ca="1" si="899">NPV($E$23+$F$23,H933:M933)+$H$4</f>
        <v>1143033.9510231656</v>
      </c>
    </row>
    <row r="934" spans="4:14" x14ac:dyDescent="0.25">
      <c r="D934" s="33"/>
      <c r="E934" s="33">
        <v>904</v>
      </c>
      <c r="F934" s="37"/>
      <c r="G934" s="37"/>
      <c r="H934" s="37">
        <f t="shared" si="761"/>
        <v>868800</v>
      </c>
      <c r="I934" s="37">
        <f ca="1">(RANDBETWEEN($E$14,$F$14)*$I$9)+$I$10+$I$18</f>
        <v>-189819.59895313275</v>
      </c>
      <c r="J934" s="37">
        <f ca="1">(RANDBETWEEN($E$14,$F$14)*$J$9)+$J$10+$J$18</f>
        <v>221933.48456383706</v>
      </c>
      <c r="K934" s="37">
        <f ca="1">(RANDBETWEEN($E$14,$F$14)*$K$9)+$K$10+$K$18</f>
        <v>24363.532183028292</v>
      </c>
      <c r="L934" s="37">
        <f ca="1">(RANDBETWEEN($E$14,$F$14)*$L$9)+$L$10+$L$18</f>
        <v>999716.39339203853</v>
      </c>
      <c r="M934" s="37">
        <f ca="1">(RANDBETWEEN($E$14,$F$14)*$M$9)+$M$10+$M$18</f>
        <v>1424944.0925515993</v>
      </c>
      <c r="N934" s="37">
        <f t="shared" ref="N934" ca="1" si="900">NPV($E$23+$F$23,H934:M934)+$H$4</f>
        <v>1654016.20062854</v>
      </c>
    </row>
    <row r="935" spans="4:14" x14ac:dyDescent="0.25">
      <c r="D935" s="33"/>
      <c r="E935" s="33">
        <v>905</v>
      </c>
      <c r="F935" s="37"/>
      <c r="G935" s="37"/>
      <c r="H935" s="37">
        <f t="shared" si="761"/>
        <v>868800</v>
      </c>
      <c r="I935" s="37">
        <f ca="1">(RANDBETWEEN($E$14,$F$14)*$I$9)+$I$10+$I$18</f>
        <v>-369472.96408399101</v>
      </c>
      <c r="J935" s="37">
        <f ca="1">(RANDBETWEEN($E$14,$F$14)*$J$9)+$J$10+$J$18</f>
        <v>-9238.8910066427197</v>
      </c>
      <c r="K935" s="37">
        <f ca="1">(RANDBETWEEN($E$14,$F$14)*$K$9)+$K$10+$K$18</f>
        <v>260393.25392346107</v>
      </c>
      <c r="L935" s="37">
        <f ca="1">(RANDBETWEEN($E$14,$F$14)*$L$9)+$L$10+$L$18</f>
        <v>999716.39339203853</v>
      </c>
      <c r="M935" s="37">
        <f ca="1">(RANDBETWEEN($E$14,$F$14)*$M$9)+$M$10+$M$18</f>
        <v>1424944.0925515993</v>
      </c>
      <c r="N935" s="37">
        <f t="shared" ref="N935" ca="1" si="901">NPV($E$23+$F$23,H935:M935)+$H$4</f>
        <v>1485552.1489913375</v>
      </c>
    </row>
    <row r="936" spans="4:14" x14ac:dyDescent="0.25">
      <c r="D936" s="33"/>
      <c r="E936" s="33">
        <v>906</v>
      </c>
      <c r="F936" s="37"/>
      <c r="G936" s="37"/>
      <c r="H936" s="37">
        <f t="shared" si="761"/>
        <v>868800</v>
      </c>
      <c r="I936" s="37">
        <f ca="1">(RANDBETWEEN($E$14,$F$14)*$I$9)+$I$10+$I$18</f>
        <v>-189819.59895313275</v>
      </c>
      <c r="J936" s="37">
        <f ca="1">(RANDBETWEEN($E$14,$F$14)*$J$9)+$J$10+$J$18</f>
        <v>221933.48456383706</v>
      </c>
      <c r="K936" s="37">
        <f ca="1">(RANDBETWEEN($E$14,$F$14)*$K$9)+$K$10+$K$18</f>
        <v>24363.532183028292</v>
      </c>
      <c r="L936" s="37">
        <f ca="1">(RANDBETWEEN($E$14,$F$14)*$L$9)+$L$10+$L$18</f>
        <v>999716.39339203853</v>
      </c>
      <c r="M936" s="37">
        <f ca="1">(RANDBETWEEN($E$14,$F$14)*$M$9)+$M$10+$M$18</f>
        <v>1424944.0925515993</v>
      </c>
      <c r="N936" s="37">
        <f t="shared" ref="N936" ca="1" si="902">NPV($E$23+$F$23,H936:M936)+$H$4</f>
        <v>1654016.20062854</v>
      </c>
    </row>
    <row r="937" spans="4:14" x14ac:dyDescent="0.25">
      <c r="D937" s="33"/>
      <c r="E937" s="33">
        <v>907</v>
      </c>
      <c r="F937" s="37"/>
      <c r="G937" s="37"/>
      <c r="H937" s="37">
        <f t="shared" si="761"/>
        <v>868800</v>
      </c>
      <c r="I937" s="37">
        <f ca="1">(RANDBETWEEN($E$14,$F$14)*$I$9)+$I$10+$I$18</f>
        <v>-189819.59895313275</v>
      </c>
      <c r="J937" s="37">
        <f ca="1">(RANDBETWEEN($E$14,$F$14)*$J$9)+$J$10+$J$18</f>
        <v>-9238.8910066427197</v>
      </c>
      <c r="K937" s="37">
        <f ca="1">(RANDBETWEEN($E$14,$F$14)*$K$9)+$K$10+$K$18</f>
        <v>260393.25392346107</v>
      </c>
      <c r="L937" s="37">
        <f ca="1">(RANDBETWEEN($E$14,$F$14)*$L$9)+$L$10+$L$18</f>
        <v>999716.39339203853</v>
      </c>
      <c r="M937" s="37">
        <f ca="1">(RANDBETWEEN($E$14,$F$14)*$M$9)+$M$10+$M$18</f>
        <v>1043245.7659826493</v>
      </c>
      <c r="N937" s="37">
        <f t="shared" ref="N937" ca="1" si="903">NPV($E$23+$F$23,H937:M937)+$H$4</f>
        <v>1363673.8789130282</v>
      </c>
    </row>
    <row r="938" spans="4:14" x14ac:dyDescent="0.25">
      <c r="D938" s="33"/>
      <c r="E938" s="33">
        <v>908</v>
      </c>
      <c r="F938" s="37"/>
      <c r="G938" s="37"/>
      <c r="H938" s="37">
        <f t="shared" si="761"/>
        <v>868800</v>
      </c>
      <c r="I938" s="37">
        <f ca="1">(RANDBETWEEN($E$14,$F$14)*$I$9)+$I$10+$I$18</f>
        <v>-369472.96408399101</v>
      </c>
      <c r="J938" s="37">
        <f ca="1">(RANDBETWEEN($E$14,$F$14)*$J$9)+$J$10+$J$18</f>
        <v>221933.48456383706</v>
      </c>
      <c r="K938" s="37">
        <f ca="1">(RANDBETWEEN($E$14,$F$14)*$K$9)+$K$10+$K$18</f>
        <v>24363.532183028292</v>
      </c>
      <c r="L938" s="37">
        <f ca="1">(RANDBETWEEN($E$14,$F$14)*$L$9)+$L$10+$L$18</f>
        <v>999716.39339203853</v>
      </c>
      <c r="M938" s="37">
        <f ca="1">(RANDBETWEEN($E$14,$F$14)*$M$9)+$M$10+$M$18</f>
        <v>1424944.0925515993</v>
      </c>
      <c r="N938" s="37">
        <f t="shared" ref="N938" ca="1" si="904">NPV($E$23+$F$23,H938:M938)+$H$4</f>
        <v>1491065.3025506642</v>
      </c>
    </row>
    <row r="939" spans="4:14" x14ac:dyDescent="0.25">
      <c r="D939" s="33"/>
      <c r="E939" s="33">
        <v>909</v>
      </c>
      <c r="F939" s="37"/>
      <c r="G939" s="37"/>
      <c r="H939" s="37">
        <f t="shared" si="761"/>
        <v>868800</v>
      </c>
      <c r="I939" s="37">
        <f ca="1">(RANDBETWEEN($E$14,$F$14)*$I$9)+$I$10+$I$18</f>
        <v>-369472.96408399101</v>
      </c>
      <c r="J939" s="37">
        <f ca="1">(RANDBETWEEN($E$14,$F$14)*$J$9)+$J$10+$J$18</f>
        <v>-9238.8910066427197</v>
      </c>
      <c r="K939" s="37">
        <f ca="1">(RANDBETWEEN($E$14,$F$14)*$K$9)+$K$10+$K$18</f>
        <v>260393.25392346107</v>
      </c>
      <c r="L939" s="37">
        <f ca="1">(RANDBETWEEN($E$14,$F$14)*$L$9)+$L$10+$L$18</f>
        <v>999716.39339203853</v>
      </c>
      <c r="M939" s="37">
        <f ca="1">(RANDBETWEEN($E$14,$F$14)*$M$9)+$M$10+$M$18</f>
        <v>1424944.0925515993</v>
      </c>
      <c r="N939" s="37">
        <f t="shared" ref="N939" ca="1" si="905">NPV($E$23+$F$23,H939:M939)+$H$4</f>
        <v>1485552.1489913375</v>
      </c>
    </row>
    <row r="940" spans="4:14" x14ac:dyDescent="0.25">
      <c r="D940" s="33"/>
      <c r="E940" s="33">
        <v>910</v>
      </c>
      <c r="F940" s="37"/>
      <c r="G940" s="37"/>
      <c r="H940" s="37">
        <f t="shared" si="761"/>
        <v>868800</v>
      </c>
      <c r="I940" s="37">
        <f ca="1">(RANDBETWEEN($E$14,$F$14)*$I$9)+$I$10+$I$18</f>
        <v>-369472.96408399101</v>
      </c>
      <c r="J940" s="37">
        <f ca="1">(RANDBETWEEN($E$14,$F$14)*$J$9)+$J$10+$J$18</f>
        <v>221933.48456383706</v>
      </c>
      <c r="K940" s="37">
        <f ca="1">(RANDBETWEEN($E$14,$F$14)*$K$9)+$K$10+$K$18</f>
        <v>24363.532183028292</v>
      </c>
      <c r="L940" s="37">
        <f ca="1">(RANDBETWEEN($E$14,$F$14)*$L$9)+$L$10+$L$18</f>
        <v>671221.40421803342</v>
      </c>
      <c r="M940" s="37">
        <f ca="1">(RANDBETWEEN($E$14,$F$14)*$M$9)+$M$10+$M$18</f>
        <v>1043245.7659826493</v>
      </c>
      <c r="N940" s="37">
        <f t="shared" ref="N940" ca="1" si="906">NPV($E$23+$F$23,H940:M940)+$H$4</f>
        <v>948851.71482287208</v>
      </c>
    </row>
    <row r="941" spans="4:14" x14ac:dyDescent="0.25">
      <c r="D941" s="33"/>
      <c r="E941" s="33">
        <v>911</v>
      </c>
      <c r="F941" s="37"/>
      <c r="G941" s="37"/>
      <c r="H941" s="37">
        <f t="shared" si="761"/>
        <v>868800</v>
      </c>
      <c r="I941" s="37">
        <f ca="1">(RANDBETWEEN($E$14,$F$14)*$I$9)+$I$10+$I$18</f>
        <v>-369472.96408399101</v>
      </c>
      <c r="J941" s="37">
        <f ca="1">(RANDBETWEEN($E$14,$F$14)*$J$9)+$J$10+$J$18</f>
        <v>221933.48456383706</v>
      </c>
      <c r="K941" s="37">
        <f ca="1">(RANDBETWEEN($E$14,$F$14)*$K$9)+$K$10+$K$18</f>
        <v>260393.25392346107</v>
      </c>
      <c r="L941" s="37">
        <f ca="1">(RANDBETWEEN($E$14,$F$14)*$L$9)+$L$10+$L$18</f>
        <v>999716.39339203853</v>
      </c>
      <c r="M941" s="37">
        <f ca="1">(RANDBETWEEN($E$14,$F$14)*$M$9)+$M$10+$M$18</f>
        <v>1043245.7659826493</v>
      </c>
      <c r="N941" s="37">
        <f t="shared" ref="N941" ca="1" si="907">NPV($E$23+$F$23,H941:M941)+$H$4</f>
        <v>1400418.3705947716</v>
      </c>
    </row>
    <row r="942" spans="4:14" x14ac:dyDescent="0.25">
      <c r="D942" s="33"/>
      <c r="E942" s="33">
        <v>912</v>
      </c>
      <c r="F942" s="37"/>
      <c r="G942" s="37"/>
      <c r="H942" s="37">
        <f t="shared" si="761"/>
        <v>868800</v>
      </c>
      <c r="I942" s="37">
        <f ca="1">(RANDBETWEEN($E$14,$F$14)*$I$9)+$I$10+$I$18</f>
        <v>-189819.59895313275</v>
      </c>
      <c r="J942" s="37">
        <f ca="1">(RANDBETWEEN($E$14,$F$14)*$J$9)+$J$10+$J$18</f>
        <v>-9238.8910066427197</v>
      </c>
      <c r="K942" s="37">
        <f ca="1">(RANDBETWEEN($E$14,$F$14)*$K$9)+$K$10+$K$18</f>
        <v>24363.532183028292</v>
      </c>
      <c r="L942" s="37">
        <f ca="1">(RANDBETWEEN($E$14,$F$14)*$L$9)+$L$10+$L$18</f>
        <v>999716.39339203853</v>
      </c>
      <c r="M942" s="37">
        <f ca="1">(RANDBETWEEN($E$14,$F$14)*$M$9)+$M$10+$M$18</f>
        <v>1424944.0925515993</v>
      </c>
      <c r="N942" s="37">
        <f t="shared" ref="N942" ca="1" si="908">NPV($E$23+$F$23,H942:M942)+$H$4</f>
        <v>1454320.8108689203</v>
      </c>
    </row>
    <row r="943" spans="4:14" x14ac:dyDescent="0.25">
      <c r="D943" s="33"/>
      <c r="E943" s="33">
        <v>913</v>
      </c>
      <c r="F943" s="37"/>
      <c r="G943" s="37"/>
      <c r="H943" s="37">
        <f t="shared" si="761"/>
        <v>868800</v>
      </c>
      <c r="I943" s="37">
        <f ca="1">(RANDBETWEEN($E$14,$F$14)*$I$9)+$I$10+$I$18</f>
        <v>-189819.59895313275</v>
      </c>
      <c r="J943" s="37">
        <f ca="1">(RANDBETWEEN($E$14,$F$14)*$J$9)+$J$10+$J$18</f>
        <v>221933.48456383706</v>
      </c>
      <c r="K943" s="37">
        <f ca="1">(RANDBETWEEN($E$14,$F$14)*$K$9)+$K$10+$K$18</f>
        <v>24363.532183028292</v>
      </c>
      <c r="L943" s="37">
        <f ca="1">(RANDBETWEEN($E$14,$F$14)*$L$9)+$L$10+$L$18</f>
        <v>999716.39339203853</v>
      </c>
      <c r="M943" s="37">
        <f ca="1">(RANDBETWEEN($E$14,$F$14)*$M$9)+$M$10+$M$18</f>
        <v>1424944.0925515993</v>
      </c>
      <c r="N943" s="37">
        <f t="shared" ref="N943" ca="1" si="909">NPV($E$23+$F$23,H943:M943)+$H$4</f>
        <v>1654016.20062854</v>
      </c>
    </row>
    <row r="944" spans="4:14" x14ac:dyDescent="0.25">
      <c r="D944" s="33"/>
      <c r="E944" s="33">
        <v>914</v>
      </c>
      <c r="F944" s="37"/>
      <c r="G944" s="37"/>
      <c r="H944" s="37">
        <f t="shared" si="761"/>
        <v>868800</v>
      </c>
      <c r="I944" s="37">
        <f ca="1">(RANDBETWEEN($E$14,$F$14)*$I$9)+$I$10+$I$18</f>
        <v>-369472.96408399101</v>
      </c>
      <c r="J944" s="37">
        <f ca="1">(RANDBETWEEN($E$14,$F$14)*$J$9)+$J$10+$J$18</f>
        <v>221933.48456383706</v>
      </c>
      <c r="K944" s="37">
        <f ca="1">(RANDBETWEEN($E$14,$F$14)*$K$9)+$K$10+$K$18</f>
        <v>24363.532183028292</v>
      </c>
      <c r="L944" s="37">
        <f ca="1">(RANDBETWEEN($E$14,$F$14)*$L$9)+$L$10+$L$18</f>
        <v>671221.40421803342</v>
      </c>
      <c r="M944" s="37">
        <f ca="1">(RANDBETWEEN($E$14,$F$14)*$M$9)+$M$10+$M$18</f>
        <v>1424944.0925515993</v>
      </c>
      <c r="N944" s="37">
        <f t="shared" ref="N944" ca="1" si="910">NPV($E$23+$F$23,H944:M944)+$H$4</f>
        <v>1233680.8829790577</v>
      </c>
    </row>
    <row r="945" spans="4:17" x14ac:dyDescent="0.25">
      <c r="D945" s="33"/>
      <c r="E945" s="33">
        <v>915</v>
      </c>
      <c r="F945" s="37"/>
      <c r="G945" s="37"/>
      <c r="H945" s="37">
        <f t="shared" si="761"/>
        <v>868800</v>
      </c>
      <c r="I945" s="37">
        <f ca="1">(RANDBETWEEN($E$14,$F$14)*$I$9)+$I$10+$I$18</f>
        <v>-369472.96408399101</v>
      </c>
      <c r="J945" s="37">
        <f ca="1">(RANDBETWEEN($E$14,$F$14)*$J$9)+$J$10+$J$18</f>
        <v>221933.48456383706</v>
      </c>
      <c r="K945" s="37">
        <f ca="1">(RANDBETWEEN($E$14,$F$14)*$K$9)+$K$10+$K$18</f>
        <v>24363.532183028292</v>
      </c>
      <c r="L945" s="37">
        <f ca="1">(RANDBETWEEN($E$14,$F$14)*$L$9)+$L$10+$L$18</f>
        <v>999716.39339203853</v>
      </c>
      <c r="M945" s="37">
        <f ca="1">(RANDBETWEEN($E$14,$F$14)*$M$9)+$M$10+$M$18</f>
        <v>1043245.7659826493</v>
      </c>
      <c r="N945" s="37">
        <f t="shared" ref="N945" ca="1" si="911">NPV($E$23+$F$23,H945:M945)+$H$4</f>
        <v>1206236.1343944785</v>
      </c>
    </row>
    <row r="946" spans="4:17" x14ac:dyDescent="0.25">
      <c r="D946" s="33"/>
      <c r="E946" s="33">
        <v>916</v>
      </c>
      <c r="F946" s="37"/>
      <c r="G946" s="37"/>
      <c r="H946" s="37">
        <f t="shared" si="761"/>
        <v>868800</v>
      </c>
      <c r="I946" s="37">
        <f ca="1">(RANDBETWEEN($E$14,$F$14)*$I$9)+$I$10+$I$18</f>
        <v>-189819.59895313275</v>
      </c>
      <c r="J946" s="37">
        <f ca="1">(RANDBETWEEN($E$14,$F$14)*$J$9)+$J$10+$J$18</f>
        <v>221933.48456383706</v>
      </c>
      <c r="K946" s="37">
        <f ca="1">(RANDBETWEEN($E$14,$F$14)*$K$9)+$K$10+$K$18</f>
        <v>24363.532183028292</v>
      </c>
      <c r="L946" s="37">
        <f ca="1">(RANDBETWEEN($E$14,$F$14)*$L$9)+$L$10+$L$18</f>
        <v>671221.40421803342</v>
      </c>
      <c r="M946" s="37">
        <f ca="1">(RANDBETWEEN($E$14,$F$14)*$M$9)+$M$10+$M$18</f>
        <v>1043245.7659826493</v>
      </c>
      <c r="N946" s="37">
        <f t="shared" ref="N946" ca="1" si="912">NPV($E$23+$F$23,H946:M946)+$H$4</f>
        <v>1111802.6129007479</v>
      </c>
    </row>
    <row r="947" spans="4:17" x14ac:dyDescent="0.25">
      <c r="D947" s="33"/>
      <c r="E947" s="33">
        <v>917</v>
      </c>
      <c r="F947" s="37"/>
      <c r="G947" s="37"/>
      <c r="H947" s="37">
        <f t="shared" si="761"/>
        <v>868800</v>
      </c>
      <c r="I947" s="37">
        <f ca="1">(RANDBETWEEN($E$14,$F$14)*$I$9)+$I$10+$I$18</f>
        <v>-189819.59895313275</v>
      </c>
      <c r="J947" s="37">
        <f ca="1">(RANDBETWEEN($E$14,$F$14)*$J$9)+$J$10+$J$18</f>
        <v>-9238.8910066427197</v>
      </c>
      <c r="K947" s="37">
        <f ca="1">(RANDBETWEEN($E$14,$F$14)*$K$9)+$K$10+$K$18</f>
        <v>260393.25392346107</v>
      </c>
      <c r="L947" s="37">
        <f ca="1">(RANDBETWEEN($E$14,$F$14)*$L$9)+$L$10+$L$18</f>
        <v>999716.39339203853</v>
      </c>
      <c r="M947" s="37">
        <f ca="1">(RANDBETWEEN($E$14,$F$14)*$M$9)+$M$10+$M$18</f>
        <v>1043245.7659826493</v>
      </c>
      <c r="N947" s="37">
        <f t="shared" ref="N947" ca="1" si="913">NPV($E$23+$F$23,H947:M947)+$H$4</f>
        <v>1363673.8789130282</v>
      </c>
      <c r="Q947" s="37"/>
    </row>
    <row r="948" spans="4:17" x14ac:dyDescent="0.25">
      <c r="D948" s="33"/>
      <c r="E948" s="33">
        <v>918</v>
      </c>
      <c r="F948" s="37"/>
      <c r="G948" s="37"/>
      <c r="H948" s="37">
        <f t="shared" si="761"/>
        <v>868800</v>
      </c>
      <c r="I948" s="37">
        <f ca="1">(RANDBETWEEN($E$14,$F$14)*$I$9)+$I$10+$I$18</f>
        <v>-369472.96408399101</v>
      </c>
      <c r="J948" s="37">
        <f ca="1">(RANDBETWEEN($E$14,$F$14)*$J$9)+$J$10+$J$18</f>
        <v>221933.48456383706</v>
      </c>
      <c r="K948" s="37">
        <f ca="1">(RANDBETWEEN($E$14,$F$14)*$K$9)+$K$10+$K$18</f>
        <v>24363.532183028292</v>
      </c>
      <c r="L948" s="37">
        <f ca="1">(RANDBETWEEN($E$14,$F$14)*$L$9)+$L$10+$L$18</f>
        <v>671221.40421803342</v>
      </c>
      <c r="M948" s="37">
        <f ca="1">(RANDBETWEEN($E$14,$F$14)*$M$9)+$M$10+$M$18</f>
        <v>1043245.7659826493</v>
      </c>
      <c r="N948" s="37">
        <f t="shared" ref="N948" ca="1" si="914">NPV($E$23+$F$23,H948:M948)+$H$4</f>
        <v>948851.71482287208</v>
      </c>
      <c r="Q948" s="37"/>
    </row>
    <row r="949" spans="4:17" x14ac:dyDescent="0.25">
      <c r="D949" s="33"/>
      <c r="E949" s="33">
        <v>919</v>
      </c>
      <c r="F949" s="37"/>
      <c r="G949" s="37"/>
      <c r="H949" s="37">
        <f t="shared" si="761"/>
        <v>868800</v>
      </c>
      <c r="I949" s="37">
        <f ca="1">(RANDBETWEEN($E$14,$F$14)*$I$9)+$I$10+$I$18</f>
        <v>-369472.96408399101</v>
      </c>
      <c r="J949" s="37">
        <f ca="1">(RANDBETWEEN($E$14,$F$14)*$J$9)+$J$10+$J$18</f>
        <v>-9238.8910066427197</v>
      </c>
      <c r="K949" s="37">
        <f ca="1">(RANDBETWEEN($E$14,$F$14)*$K$9)+$K$10+$K$18</f>
        <v>260393.25392346107</v>
      </c>
      <c r="L949" s="37">
        <f ca="1">(RANDBETWEEN($E$14,$F$14)*$L$9)+$L$10+$L$18</f>
        <v>671221.40421803342</v>
      </c>
      <c r="M949" s="37">
        <f ca="1">(RANDBETWEEN($E$14,$F$14)*$M$9)+$M$10+$M$18</f>
        <v>1043245.7659826493</v>
      </c>
      <c r="N949" s="37">
        <f t="shared" ref="N949" ca="1" si="915">NPV($E$23+$F$23,H949:M949)+$H$4</f>
        <v>943338.56126354542</v>
      </c>
    </row>
    <row r="950" spans="4:17" x14ac:dyDescent="0.25">
      <c r="D950" s="33"/>
      <c r="E950" s="33">
        <v>920</v>
      </c>
      <c r="F950" s="37"/>
      <c r="G950" s="37"/>
      <c r="H950" s="37">
        <f t="shared" si="761"/>
        <v>868800</v>
      </c>
      <c r="I950" s="37">
        <f ca="1">(RANDBETWEEN($E$14,$F$14)*$I$9)+$I$10+$I$18</f>
        <v>-369472.96408399101</v>
      </c>
      <c r="J950" s="37">
        <f ca="1">(RANDBETWEEN($E$14,$F$14)*$J$9)+$J$10+$J$18</f>
        <v>221933.48456383706</v>
      </c>
      <c r="K950" s="37">
        <f ca="1">(RANDBETWEEN($E$14,$F$14)*$K$9)+$K$10+$K$18</f>
        <v>24363.532183028292</v>
      </c>
      <c r="L950" s="37">
        <f ca="1">(RANDBETWEEN($E$14,$F$14)*$L$9)+$L$10+$L$18</f>
        <v>999716.39339203853</v>
      </c>
      <c r="M950" s="37">
        <f ca="1">(RANDBETWEEN($E$14,$F$14)*$M$9)+$M$10+$M$18</f>
        <v>1043245.7659826493</v>
      </c>
      <c r="N950" s="37">
        <f t="shared" ref="N950" ca="1" si="916">NPV($E$23+$F$23,H950:M950)+$H$4</f>
        <v>1206236.1343944785</v>
      </c>
    </row>
    <row r="951" spans="4:17" x14ac:dyDescent="0.25">
      <c r="D951" s="33"/>
      <c r="E951" s="33">
        <v>921</v>
      </c>
      <c r="F951" s="37"/>
      <c r="G951" s="37"/>
      <c r="H951" s="37">
        <f t="shared" si="761"/>
        <v>868800</v>
      </c>
      <c r="I951" s="37">
        <f ca="1">(RANDBETWEEN($E$14,$F$14)*$I$9)+$I$10+$I$18</f>
        <v>-189819.59895313275</v>
      </c>
      <c r="J951" s="37">
        <f ca="1">(RANDBETWEEN($E$14,$F$14)*$J$9)+$J$10+$J$18</f>
        <v>221933.48456383706</v>
      </c>
      <c r="K951" s="37">
        <f ca="1">(RANDBETWEEN($E$14,$F$14)*$K$9)+$K$10+$K$18</f>
        <v>260393.25392346107</v>
      </c>
      <c r="L951" s="37">
        <f ca="1">(RANDBETWEEN($E$14,$F$14)*$L$9)+$L$10+$L$18</f>
        <v>999716.39339203853</v>
      </c>
      <c r="M951" s="37">
        <f ca="1">(RANDBETWEEN($E$14,$F$14)*$M$9)+$M$10+$M$18</f>
        <v>1043245.7659826493</v>
      </c>
      <c r="N951" s="37">
        <f t="shared" ref="N951" ca="1" si="917">NPV($E$23+$F$23,H951:M951)+$H$4</f>
        <v>1563369.2686726474</v>
      </c>
    </row>
    <row r="952" spans="4:17" x14ac:dyDescent="0.25">
      <c r="D952" s="33"/>
      <c r="E952" s="33">
        <v>922</v>
      </c>
      <c r="F952" s="37"/>
      <c r="G952" s="37"/>
      <c r="H952" s="37">
        <f t="shared" si="761"/>
        <v>868800</v>
      </c>
      <c r="I952" s="37">
        <f ca="1">(RANDBETWEEN($E$14,$F$14)*$I$9)+$I$10+$I$18</f>
        <v>-369472.96408399101</v>
      </c>
      <c r="J952" s="37">
        <f ca="1">(RANDBETWEEN($E$14,$F$14)*$J$9)+$J$10+$J$18</f>
        <v>221933.48456383706</v>
      </c>
      <c r="K952" s="37">
        <f ca="1">(RANDBETWEEN($E$14,$F$14)*$K$9)+$K$10+$K$18</f>
        <v>260393.25392346107</v>
      </c>
      <c r="L952" s="37">
        <f ca="1">(RANDBETWEEN($E$14,$F$14)*$L$9)+$L$10+$L$18</f>
        <v>671221.40421803342</v>
      </c>
      <c r="M952" s="37">
        <f ca="1">(RANDBETWEEN($E$14,$F$14)*$M$9)+$M$10+$M$18</f>
        <v>1424944.0925515993</v>
      </c>
      <c r="N952" s="37">
        <f t="shared" ref="N952" ca="1" si="918">NPV($E$23+$F$23,H952:M952)+$H$4</f>
        <v>1427863.1191793513</v>
      </c>
    </row>
    <row r="953" spans="4:17" x14ac:dyDescent="0.25">
      <c r="D953" s="33"/>
      <c r="E953" s="33">
        <v>923</v>
      </c>
      <c r="F953" s="37"/>
      <c r="G953" s="37"/>
      <c r="H953" s="37">
        <f t="shared" si="761"/>
        <v>868800</v>
      </c>
      <c r="I953" s="37">
        <f ca="1">(RANDBETWEEN($E$14,$F$14)*$I$9)+$I$10+$I$18</f>
        <v>-189819.59895313275</v>
      </c>
      <c r="J953" s="37">
        <f ca="1">(RANDBETWEEN($E$14,$F$14)*$J$9)+$J$10+$J$18</f>
        <v>-9238.8910066427197</v>
      </c>
      <c r="K953" s="37">
        <f ca="1">(RANDBETWEEN($E$14,$F$14)*$K$9)+$K$10+$K$18</f>
        <v>24363.532183028292</v>
      </c>
      <c r="L953" s="37">
        <f ca="1">(RANDBETWEEN($E$14,$F$14)*$L$9)+$L$10+$L$18</f>
        <v>999716.39339203853</v>
      </c>
      <c r="M953" s="37">
        <f ca="1">(RANDBETWEEN($E$14,$F$14)*$M$9)+$M$10+$M$18</f>
        <v>1043245.7659826493</v>
      </c>
      <c r="N953" s="37">
        <f t="shared" ref="N953" ca="1" si="919">NPV($E$23+$F$23,H953:M953)+$H$4</f>
        <v>1169491.6427127346</v>
      </c>
      <c r="Q953" s="37"/>
    </row>
    <row r="954" spans="4:17" x14ac:dyDescent="0.25">
      <c r="D954" s="33"/>
      <c r="E954" s="33">
        <v>924</v>
      </c>
      <c r="F954" s="37"/>
      <c r="G954" s="37"/>
      <c r="H954" s="37">
        <f t="shared" si="761"/>
        <v>868800</v>
      </c>
      <c r="I954" s="37">
        <f ca="1">(RANDBETWEEN($E$14,$F$14)*$I$9)+$I$10+$I$18</f>
        <v>-369472.96408399101</v>
      </c>
      <c r="J954" s="37">
        <f ca="1">(RANDBETWEEN($E$14,$F$14)*$J$9)+$J$10+$J$18</f>
        <v>221933.48456383706</v>
      </c>
      <c r="K954" s="37">
        <f ca="1">(RANDBETWEEN($E$14,$F$14)*$K$9)+$K$10+$K$18</f>
        <v>260393.25392346107</v>
      </c>
      <c r="L954" s="37">
        <f ca="1">(RANDBETWEEN($E$14,$F$14)*$L$9)+$L$10+$L$18</f>
        <v>999716.39339203853</v>
      </c>
      <c r="M954" s="37">
        <f ca="1">(RANDBETWEEN($E$14,$F$14)*$M$9)+$M$10+$M$18</f>
        <v>1424944.0925515993</v>
      </c>
      <c r="N954" s="37">
        <f t="shared" ref="N954" ca="1" si="920">NPV($E$23+$F$23,H954:M954)+$H$4</f>
        <v>1685247.5387509572</v>
      </c>
    </row>
    <row r="955" spans="4:17" x14ac:dyDescent="0.25">
      <c r="D955" s="33"/>
      <c r="E955" s="33">
        <v>925</v>
      </c>
      <c r="F955" s="37"/>
      <c r="G955" s="37"/>
      <c r="H955" s="37">
        <f t="shared" si="761"/>
        <v>868800</v>
      </c>
      <c r="I955" s="37">
        <f ca="1">(RANDBETWEEN($E$14,$F$14)*$I$9)+$I$10+$I$18</f>
        <v>-189819.59895313275</v>
      </c>
      <c r="J955" s="37">
        <f ca="1">(RANDBETWEEN($E$14,$F$14)*$J$9)+$J$10+$J$18</f>
        <v>-9238.8910066427197</v>
      </c>
      <c r="K955" s="37">
        <f ca="1">(RANDBETWEEN($E$14,$F$14)*$K$9)+$K$10+$K$18</f>
        <v>260393.25392346107</v>
      </c>
      <c r="L955" s="37">
        <f ca="1">(RANDBETWEEN($E$14,$F$14)*$L$9)+$L$10+$L$18</f>
        <v>671221.40421803342</v>
      </c>
      <c r="M955" s="37">
        <f ca="1">(RANDBETWEEN($E$14,$F$14)*$M$9)+$M$10+$M$18</f>
        <v>1043245.7659826493</v>
      </c>
      <c r="N955" s="37">
        <f t="shared" ref="N955" ca="1" si="921">NPV($E$23+$F$23,H955:M955)+$H$4</f>
        <v>1106289.4593414213</v>
      </c>
    </row>
    <row r="956" spans="4:17" x14ac:dyDescent="0.25">
      <c r="D956" s="33"/>
      <c r="E956" s="33">
        <v>926</v>
      </c>
      <c r="F956" s="37"/>
      <c r="G956" s="37"/>
      <c r="H956" s="37">
        <f t="shared" si="761"/>
        <v>868800</v>
      </c>
      <c r="I956" s="37">
        <f ca="1">(RANDBETWEEN($E$14,$F$14)*$I$9)+$I$10+$I$18</f>
        <v>-369472.96408399101</v>
      </c>
      <c r="J956" s="37">
        <f ca="1">(RANDBETWEEN($E$14,$F$14)*$J$9)+$J$10+$J$18</f>
        <v>-9238.8910066427197</v>
      </c>
      <c r="K956" s="37">
        <f ca="1">(RANDBETWEEN($E$14,$F$14)*$K$9)+$K$10+$K$18</f>
        <v>260393.25392346107</v>
      </c>
      <c r="L956" s="37">
        <f ca="1">(RANDBETWEEN($E$14,$F$14)*$L$9)+$L$10+$L$18</f>
        <v>999716.39339203853</v>
      </c>
      <c r="M956" s="37">
        <f ca="1">(RANDBETWEEN($E$14,$F$14)*$M$9)+$M$10+$M$18</f>
        <v>1424944.0925515993</v>
      </c>
      <c r="N956" s="37">
        <f t="shared" ref="N956" ca="1" si="922">NPV($E$23+$F$23,H956:M956)+$H$4</f>
        <v>1485552.1489913375</v>
      </c>
    </row>
    <row r="957" spans="4:17" x14ac:dyDescent="0.25">
      <c r="D957" s="33"/>
      <c r="E957" s="33">
        <v>927</v>
      </c>
      <c r="F957" s="37"/>
      <c r="G957" s="37"/>
      <c r="H957" s="37">
        <f t="shared" si="761"/>
        <v>868800</v>
      </c>
      <c r="I957" s="37">
        <f ca="1">(RANDBETWEEN($E$14,$F$14)*$I$9)+$I$10+$I$18</f>
        <v>-189819.59895313275</v>
      </c>
      <c r="J957" s="37">
        <f ca="1">(RANDBETWEEN($E$14,$F$14)*$J$9)+$J$10+$J$18</f>
        <v>-9238.8910066427197</v>
      </c>
      <c r="K957" s="37">
        <f ca="1">(RANDBETWEEN($E$14,$F$14)*$K$9)+$K$10+$K$18</f>
        <v>24363.532183028292</v>
      </c>
      <c r="L957" s="37">
        <f ca="1">(RANDBETWEEN($E$14,$F$14)*$L$9)+$L$10+$L$18</f>
        <v>671221.40421803342</v>
      </c>
      <c r="M957" s="37">
        <f ca="1">(RANDBETWEEN($E$14,$F$14)*$M$9)+$M$10+$M$18</f>
        <v>1043245.7659826493</v>
      </c>
      <c r="N957" s="37">
        <f t="shared" ref="N957" ca="1" si="923">NPV($E$23+$F$23,H957:M957)+$H$4</f>
        <v>912107.22314112843</v>
      </c>
    </row>
    <row r="958" spans="4:17" x14ac:dyDescent="0.25">
      <c r="D958" s="33"/>
      <c r="E958" s="33">
        <v>928</v>
      </c>
      <c r="F958" s="37"/>
      <c r="G958" s="37"/>
      <c r="H958" s="37">
        <f t="shared" si="761"/>
        <v>868800</v>
      </c>
      <c r="I958" s="37">
        <f ca="1">(RANDBETWEEN($E$14,$F$14)*$I$9)+$I$10+$I$18</f>
        <v>-189819.59895313275</v>
      </c>
      <c r="J958" s="37">
        <f ca="1">(RANDBETWEEN($E$14,$F$14)*$J$9)+$J$10+$J$18</f>
        <v>-9238.8910066427197</v>
      </c>
      <c r="K958" s="37">
        <f ca="1">(RANDBETWEEN($E$14,$F$14)*$K$9)+$K$10+$K$18</f>
        <v>24363.532183028292</v>
      </c>
      <c r="L958" s="37">
        <f ca="1">(RANDBETWEEN($E$14,$F$14)*$L$9)+$L$10+$L$18</f>
        <v>999716.39339203853</v>
      </c>
      <c r="M958" s="37">
        <f ca="1">(RANDBETWEEN($E$14,$F$14)*$M$9)+$M$10+$M$18</f>
        <v>1043245.7659826493</v>
      </c>
      <c r="N958" s="37">
        <f t="shared" ref="N958" ca="1" si="924">NPV($E$23+$F$23,H958:M958)+$H$4</f>
        <v>1169491.6427127346</v>
      </c>
    </row>
    <row r="959" spans="4:17" x14ac:dyDescent="0.25">
      <c r="D959" s="33"/>
      <c r="E959" s="33">
        <v>929</v>
      </c>
      <c r="F959" s="37"/>
      <c r="G959" s="37"/>
      <c r="H959" s="37">
        <f t="shared" si="761"/>
        <v>868800</v>
      </c>
      <c r="I959" s="37">
        <f ca="1">(RANDBETWEEN($E$14,$F$14)*$I$9)+$I$10+$I$18</f>
        <v>-189819.59895313275</v>
      </c>
      <c r="J959" s="37">
        <f ca="1">(RANDBETWEEN($E$14,$F$14)*$J$9)+$J$10+$J$18</f>
        <v>-9238.8910066427197</v>
      </c>
      <c r="K959" s="37">
        <f ca="1">(RANDBETWEEN($E$14,$F$14)*$K$9)+$K$10+$K$18</f>
        <v>24363.532183028292</v>
      </c>
      <c r="L959" s="37">
        <f ca="1">(RANDBETWEEN($E$14,$F$14)*$L$9)+$L$10+$L$18</f>
        <v>999716.39339203853</v>
      </c>
      <c r="M959" s="37">
        <f ca="1">(RANDBETWEEN($E$14,$F$14)*$M$9)+$M$10+$M$18</f>
        <v>1424944.0925515993</v>
      </c>
      <c r="N959" s="37">
        <f t="shared" ref="N959" ca="1" si="925">NPV($E$23+$F$23,H959:M959)+$H$4</f>
        <v>1454320.8108689203</v>
      </c>
    </row>
    <row r="960" spans="4:17" x14ac:dyDescent="0.25">
      <c r="D960" s="33"/>
      <c r="E960" s="33">
        <v>930</v>
      </c>
      <c r="F960" s="37"/>
      <c r="G960" s="37"/>
      <c r="H960" s="37">
        <f t="shared" si="761"/>
        <v>868800</v>
      </c>
      <c r="I960" s="37">
        <f ca="1">(RANDBETWEEN($E$14,$F$14)*$I$9)+$I$10+$I$18</f>
        <v>-189819.59895313275</v>
      </c>
      <c r="J960" s="37">
        <f ca="1">(RANDBETWEEN($E$14,$F$14)*$J$9)+$J$10+$J$18</f>
        <v>-9238.8910066427197</v>
      </c>
      <c r="K960" s="37">
        <f ca="1">(RANDBETWEEN($E$14,$F$14)*$K$9)+$K$10+$K$18</f>
        <v>24363.532183028292</v>
      </c>
      <c r="L960" s="37">
        <f ca="1">(RANDBETWEEN($E$14,$F$14)*$L$9)+$L$10+$L$18</f>
        <v>671221.40421803342</v>
      </c>
      <c r="M960" s="37">
        <f ca="1">(RANDBETWEEN($E$14,$F$14)*$M$9)+$M$10+$M$18</f>
        <v>1424944.0925515993</v>
      </c>
      <c r="N960" s="37">
        <f t="shared" ref="N960" ca="1" si="926">NPV($E$23+$F$23,H960:M960)+$H$4</f>
        <v>1196936.3912973143</v>
      </c>
    </row>
    <row r="961" spans="4:17" x14ac:dyDescent="0.25">
      <c r="D961" s="33"/>
      <c r="E961" s="33">
        <v>931</v>
      </c>
      <c r="F961" s="37"/>
      <c r="G961" s="37"/>
      <c r="H961" s="37">
        <f t="shared" si="761"/>
        <v>868800</v>
      </c>
      <c r="I961" s="37">
        <f ca="1">(RANDBETWEEN($E$14,$F$14)*$I$9)+$I$10+$I$18</f>
        <v>-189819.59895313275</v>
      </c>
      <c r="J961" s="37">
        <f ca="1">(RANDBETWEEN($E$14,$F$14)*$J$9)+$J$10+$J$18</f>
        <v>-9238.8910066427197</v>
      </c>
      <c r="K961" s="37">
        <f ca="1">(RANDBETWEEN($E$14,$F$14)*$K$9)+$K$10+$K$18</f>
        <v>260393.25392346107</v>
      </c>
      <c r="L961" s="37">
        <f ca="1">(RANDBETWEEN($E$14,$F$14)*$L$9)+$L$10+$L$18</f>
        <v>999716.39339203853</v>
      </c>
      <c r="M961" s="37">
        <f ca="1">(RANDBETWEEN($E$14,$F$14)*$M$9)+$M$10+$M$18</f>
        <v>1424944.0925515993</v>
      </c>
      <c r="N961" s="37">
        <f t="shared" ref="N961" ca="1" si="927">NPV($E$23+$F$23,H961:M961)+$H$4</f>
        <v>1648503.0470692138</v>
      </c>
    </row>
    <row r="962" spans="4:17" x14ac:dyDescent="0.25">
      <c r="D962" s="33"/>
      <c r="E962" s="33">
        <v>932</v>
      </c>
      <c r="F962" s="37"/>
      <c r="G962" s="37"/>
      <c r="H962" s="37">
        <f t="shared" si="761"/>
        <v>868800</v>
      </c>
      <c r="I962" s="37">
        <f ca="1">(RANDBETWEEN($E$14,$F$14)*$I$9)+$I$10+$I$18</f>
        <v>-189819.59895313275</v>
      </c>
      <c r="J962" s="37">
        <f ca="1">(RANDBETWEEN($E$14,$F$14)*$J$9)+$J$10+$J$18</f>
        <v>221933.48456383706</v>
      </c>
      <c r="K962" s="37">
        <f ca="1">(RANDBETWEEN($E$14,$F$14)*$K$9)+$K$10+$K$18</f>
        <v>24363.532183028292</v>
      </c>
      <c r="L962" s="37">
        <f ca="1">(RANDBETWEEN($E$14,$F$14)*$L$9)+$L$10+$L$18</f>
        <v>999716.39339203853</v>
      </c>
      <c r="M962" s="37">
        <f ca="1">(RANDBETWEEN($E$14,$F$14)*$M$9)+$M$10+$M$18</f>
        <v>1043245.7659826493</v>
      </c>
      <c r="N962" s="37">
        <f t="shared" ref="N962" ca="1" si="928">NPV($E$23+$F$23,H962:M962)+$H$4</f>
        <v>1369187.0324723539</v>
      </c>
    </row>
    <row r="963" spans="4:17" x14ac:dyDescent="0.25">
      <c r="D963" s="33"/>
      <c r="E963" s="33">
        <v>933</v>
      </c>
      <c r="F963" s="37"/>
      <c r="G963" s="37"/>
      <c r="H963" s="37">
        <f t="shared" si="761"/>
        <v>868800</v>
      </c>
      <c r="I963" s="37">
        <f ca="1">(RANDBETWEEN($E$14,$F$14)*$I$9)+$I$10+$I$18</f>
        <v>-369472.96408399101</v>
      </c>
      <c r="J963" s="37">
        <f ca="1">(RANDBETWEEN($E$14,$F$14)*$J$9)+$J$10+$J$18</f>
        <v>221933.48456383706</v>
      </c>
      <c r="K963" s="37">
        <f ca="1">(RANDBETWEEN($E$14,$F$14)*$K$9)+$K$10+$K$18</f>
        <v>24363.532183028292</v>
      </c>
      <c r="L963" s="37">
        <f ca="1">(RANDBETWEEN($E$14,$F$14)*$L$9)+$L$10+$L$18</f>
        <v>671221.40421803342</v>
      </c>
      <c r="M963" s="37">
        <f ca="1">(RANDBETWEEN($E$14,$F$14)*$M$9)+$M$10+$M$18</f>
        <v>1043245.7659826493</v>
      </c>
      <c r="N963" s="37">
        <f t="shared" ref="N963" ca="1" si="929">NPV($E$23+$F$23,H963:M963)+$H$4</f>
        <v>948851.71482287208</v>
      </c>
    </row>
    <row r="964" spans="4:17" x14ac:dyDescent="0.25">
      <c r="D964" s="33"/>
      <c r="E964" s="33">
        <v>934</v>
      </c>
      <c r="F964" s="37"/>
      <c r="G964" s="37"/>
      <c r="H964" s="37">
        <f t="shared" si="761"/>
        <v>868800</v>
      </c>
      <c r="I964" s="37">
        <f ca="1">(RANDBETWEEN($E$14,$F$14)*$I$9)+$I$10+$I$18</f>
        <v>-369472.96408399101</v>
      </c>
      <c r="J964" s="37">
        <f ca="1">(RANDBETWEEN($E$14,$F$14)*$J$9)+$J$10+$J$18</f>
        <v>221933.48456383706</v>
      </c>
      <c r="K964" s="37">
        <f ca="1">(RANDBETWEEN($E$14,$F$14)*$K$9)+$K$10+$K$18</f>
        <v>24363.532183028292</v>
      </c>
      <c r="L964" s="37">
        <f ca="1">(RANDBETWEEN($E$14,$F$14)*$L$9)+$L$10+$L$18</f>
        <v>999716.39339203853</v>
      </c>
      <c r="M964" s="37">
        <f ca="1">(RANDBETWEEN($E$14,$F$14)*$M$9)+$M$10+$M$18</f>
        <v>1424944.0925515993</v>
      </c>
      <c r="N964" s="37">
        <f t="shared" ref="N964" ca="1" si="930">NPV($E$23+$F$23,H964:M964)+$H$4</f>
        <v>1491065.3025506642</v>
      </c>
    </row>
    <row r="965" spans="4:17" x14ac:dyDescent="0.25">
      <c r="D965" s="33"/>
      <c r="E965" s="33">
        <v>935</v>
      </c>
      <c r="F965" s="37"/>
      <c r="G965" s="37"/>
      <c r="H965" s="37">
        <f t="shared" si="761"/>
        <v>868800</v>
      </c>
      <c r="I965" s="37">
        <f ca="1">(RANDBETWEEN($E$14,$F$14)*$I$9)+$I$10+$I$18</f>
        <v>-369472.96408399101</v>
      </c>
      <c r="J965" s="37">
        <f ca="1">(RANDBETWEEN($E$14,$F$14)*$J$9)+$J$10+$J$18</f>
        <v>-9238.8910066427197</v>
      </c>
      <c r="K965" s="37">
        <f ca="1">(RANDBETWEEN($E$14,$F$14)*$K$9)+$K$10+$K$18</f>
        <v>260393.25392346107</v>
      </c>
      <c r="L965" s="37">
        <f ca="1">(RANDBETWEEN($E$14,$F$14)*$L$9)+$L$10+$L$18</f>
        <v>999716.39339203853</v>
      </c>
      <c r="M965" s="37">
        <f ca="1">(RANDBETWEEN($E$14,$F$14)*$M$9)+$M$10+$M$18</f>
        <v>1424944.0925515993</v>
      </c>
      <c r="N965" s="37">
        <f t="shared" ref="N965" ca="1" si="931">NPV($E$23+$F$23,H965:M965)+$H$4</f>
        <v>1485552.1489913375</v>
      </c>
    </row>
    <row r="966" spans="4:17" x14ac:dyDescent="0.25">
      <c r="D966" s="33"/>
      <c r="E966" s="33">
        <v>936</v>
      </c>
      <c r="F966" s="37"/>
      <c r="G966" s="37"/>
      <c r="H966" s="37">
        <f t="shared" si="761"/>
        <v>868800</v>
      </c>
      <c r="I966" s="37">
        <f ca="1">(RANDBETWEEN($E$14,$F$14)*$I$9)+$I$10+$I$18</f>
        <v>-189819.59895313275</v>
      </c>
      <c r="J966" s="37">
        <f ca="1">(RANDBETWEEN($E$14,$F$14)*$J$9)+$J$10+$J$18</f>
        <v>-9238.8910066427197</v>
      </c>
      <c r="K966" s="37">
        <f ca="1">(RANDBETWEEN($E$14,$F$14)*$K$9)+$K$10+$K$18</f>
        <v>24363.532183028292</v>
      </c>
      <c r="L966" s="37">
        <f ca="1">(RANDBETWEEN($E$14,$F$14)*$L$9)+$L$10+$L$18</f>
        <v>671221.40421803342</v>
      </c>
      <c r="M966" s="37">
        <f ca="1">(RANDBETWEEN($E$14,$F$14)*$M$9)+$M$10+$M$18</f>
        <v>1424944.0925515993</v>
      </c>
      <c r="N966" s="37">
        <f t="shared" ref="N966" ca="1" si="932">NPV($E$23+$F$23,H966:M966)+$H$4</f>
        <v>1196936.3912973143</v>
      </c>
      <c r="Q966" s="37"/>
    </row>
    <row r="967" spans="4:17" x14ac:dyDescent="0.25">
      <c r="D967" s="33"/>
      <c r="E967" s="33">
        <v>937</v>
      </c>
      <c r="F967" s="37"/>
      <c r="G967" s="37"/>
      <c r="H967" s="37">
        <f t="shared" si="761"/>
        <v>868800</v>
      </c>
      <c r="I967" s="37">
        <f ca="1">(RANDBETWEEN($E$14,$F$14)*$I$9)+$I$10+$I$18</f>
        <v>-369472.96408399101</v>
      </c>
      <c r="J967" s="37">
        <f ca="1">(RANDBETWEEN($E$14,$F$14)*$J$9)+$J$10+$J$18</f>
        <v>221933.48456383706</v>
      </c>
      <c r="K967" s="37">
        <f ca="1">(RANDBETWEEN($E$14,$F$14)*$K$9)+$K$10+$K$18</f>
        <v>260393.25392346107</v>
      </c>
      <c r="L967" s="37">
        <f ca="1">(RANDBETWEEN($E$14,$F$14)*$L$9)+$L$10+$L$18</f>
        <v>671221.40421803342</v>
      </c>
      <c r="M967" s="37">
        <f ca="1">(RANDBETWEEN($E$14,$F$14)*$M$9)+$M$10+$M$18</f>
        <v>1043245.7659826493</v>
      </c>
      <c r="N967" s="37">
        <f t="shared" ref="N967" ca="1" si="933">NPV($E$23+$F$23,H967:M967)+$H$4</f>
        <v>1143033.9510231656</v>
      </c>
    </row>
    <row r="968" spans="4:17" x14ac:dyDescent="0.25">
      <c r="D968" s="33"/>
      <c r="E968" s="33">
        <v>938</v>
      </c>
      <c r="F968" s="37"/>
      <c r="G968" s="37"/>
      <c r="H968" s="37">
        <f t="shared" si="761"/>
        <v>868800</v>
      </c>
      <c r="I968" s="37">
        <f ca="1">(RANDBETWEEN($E$14,$F$14)*$I$9)+$I$10+$I$18</f>
        <v>-189819.59895313275</v>
      </c>
      <c r="J968" s="37">
        <f ca="1">(RANDBETWEEN($E$14,$F$14)*$J$9)+$J$10+$J$18</f>
        <v>221933.48456383706</v>
      </c>
      <c r="K968" s="37">
        <f ca="1">(RANDBETWEEN($E$14,$F$14)*$K$9)+$K$10+$K$18</f>
        <v>24363.532183028292</v>
      </c>
      <c r="L968" s="37">
        <f ca="1">(RANDBETWEEN($E$14,$F$14)*$L$9)+$L$10+$L$18</f>
        <v>999716.39339203853</v>
      </c>
      <c r="M968" s="37">
        <f ca="1">(RANDBETWEEN($E$14,$F$14)*$M$9)+$M$10+$M$18</f>
        <v>1424944.0925515993</v>
      </c>
      <c r="N968" s="37">
        <f t="shared" ref="N968" ca="1" si="934">NPV($E$23+$F$23,H968:M968)+$H$4</f>
        <v>1654016.20062854</v>
      </c>
    </row>
    <row r="969" spans="4:17" x14ac:dyDescent="0.25">
      <c r="D969" s="33"/>
      <c r="E969" s="33">
        <v>939</v>
      </c>
      <c r="F969" s="37"/>
      <c r="G969" s="37"/>
      <c r="H969" s="37">
        <f t="shared" si="761"/>
        <v>868800</v>
      </c>
      <c r="I969" s="37">
        <f ca="1">(RANDBETWEEN($E$14,$F$14)*$I$9)+$I$10+$I$18</f>
        <v>-369472.96408399101</v>
      </c>
      <c r="J969" s="37">
        <f ca="1">(RANDBETWEEN($E$14,$F$14)*$J$9)+$J$10+$J$18</f>
        <v>221933.48456383706</v>
      </c>
      <c r="K969" s="37">
        <f ca="1">(RANDBETWEEN($E$14,$F$14)*$K$9)+$K$10+$K$18</f>
        <v>260393.25392346107</v>
      </c>
      <c r="L969" s="37">
        <f ca="1">(RANDBETWEEN($E$14,$F$14)*$L$9)+$L$10+$L$18</f>
        <v>671221.40421803342</v>
      </c>
      <c r="M969" s="37">
        <f ca="1">(RANDBETWEEN($E$14,$F$14)*$M$9)+$M$10+$M$18</f>
        <v>1043245.7659826493</v>
      </c>
      <c r="N969" s="37">
        <f t="shared" ref="N969" ca="1" si="935">NPV($E$23+$F$23,H969:M969)+$H$4</f>
        <v>1143033.9510231656</v>
      </c>
    </row>
    <row r="970" spans="4:17" x14ac:dyDescent="0.25">
      <c r="D970" s="33"/>
      <c r="E970" s="33">
        <v>940</v>
      </c>
      <c r="F970" s="37"/>
      <c r="G970" s="37"/>
      <c r="H970" s="37">
        <f t="shared" si="761"/>
        <v>868800</v>
      </c>
      <c r="I970" s="37">
        <f ca="1">(RANDBETWEEN($E$14,$F$14)*$I$9)+$I$10+$I$18</f>
        <v>-369472.96408399101</v>
      </c>
      <c r="J970" s="37">
        <f ca="1">(RANDBETWEEN($E$14,$F$14)*$J$9)+$J$10+$J$18</f>
        <v>221933.48456383706</v>
      </c>
      <c r="K970" s="37">
        <f ca="1">(RANDBETWEEN($E$14,$F$14)*$K$9)+$K$10+$K$18</f>
        <v>24363.532183028292</v>
      </c>
      <c r="L970" s="37">
        <f ca="1">(RANDBETWEEN($E$14,$F$14)*$L$9)+$L$10+$L$18</f>
        <v>999716.39339203853</v>
      </c>
      <c r="M970" s="37">
        <f ca="1">(RANDBETWEEN($E$14,$F$14)*$M$9)+$M$10+$M$18</f>
        <v>1043245.7659826493</v>
      </c>
      <c r="N970" s="37">
        <f t="shared" ref="N970" ca="1" si="936">NPV($E$23+$F$23,H970:M970)+$H$4</f>
        <v>1206236.1343944785</v>
      </c>
    </row>
    <row r="971" spans="4:17" x14ac:dyDescent="0.25">
      <c r="D971" s="33"/>
      <c r="E971" s="33">
        <v>941</v>
      </c>
      <c r="F971" s="37"/>
      <c r="G971" s="37"/>
      <c r="H971" s="37">
        <f t="shared" si="761"/>
        <v>868800</v>
      </c>
      <c r="I971" s="37">
        <f ca="1">(RANDBETWEEN($E$14,$F$14)*$I$9)+$I$10+$I$18</f>
        <v>-369472.96408399101</v>
      </c>
      <c r="J971" s="37">
        <f ca="1">(RANDBETWEEN($E$14,$F$14)*$J$9)+$J$10+$J$18</f>
        <v>221933.48456383706</v>
      </c>
      <c r="K971" s="37">
        <f ca="1">(RANDBETWEEN($E$14,$F$14)*$K$9)+$K$10+$K$18</f>
        <v>24363.532183028292</v>
      </c>
      <c r="L971" s="37">
        <f ca="1">(RANDBETWEEN($E$14,$F$14)*$L$9)+$L$10+$L$18</f>
        <v>671221.40421803342</v>
      </c>
      <c r="M971" s="37">
        <f ca="1">(RANDBETWEEN($E$14,$F$14)*$M$9)+$M$10+$M$18</f>
        <v>1424944.0925515993</v>
      </c>
      <c r="N971" s="37">
        <f t="shared" ref="N971" ca="1" si="937">NPV($E$23+$F$23,H971:M971)+$H$4</f>
        <v>1233680.8829790577</v>
      </c>
    </row>
    <row r="972" spans="4:17" x14ac:dyDescent="0.25">
      <c r="D972" s="33"/>
      <c r="E972" s="33">
        <v>942</v>
      </c>
      <c r="F972" s="37"/>
      <c r="G972" s="37"/>
      <c r="H972" s="37">
        <f t="shared" si="761"/>
        <v>868800</v>
      </c>
      <c r="I972" s="37">
        <f ca="1">(RANDBETWEEN($E$14,$F$14)*$I$9)+$I$10+$I$18</f>
        <v>-369472.96408399101</v>
      </c>
      <c r="J972" s="37">
        <f ca="1">(RANDBETWEEN($E$14,$F$14)*$J$9)+$J$10+$J$18</f>
        <v>-9238.8910066427197</v>
      </c>
      <c r="K972" s="37">
        <f ca="1">(RANDBETWEEN($E$14,$F$14)*$K$9)+$K$10+$K$18</f>
        <v>24363.532183028292</v>
      </c>
      <c r="L972" s="37">
        <f ca="1">(RANDBETWEEN($E$14,$F$14)*$L$9)+$L$10+$L$18</f>
        <v>999716.39339203853</v>
      </c>
      <c r="M972" s="37">
        <f ca="1">(RANDBETWEEN($E$14,$F$14)*$M$9)+$M$10+$M$18</f>
        <v>1424944.0925515993</v>
      </c>
      <c r="N972" s="37">
        <f t="shared" ref="N972" ca="1" si="938">NPV($E$23+$F$23,H972:M972)+$H$4</f>
        <v>1291369.9127910445</v>
      </c>
    </row>
    <row r="973" spans="4:17" x14ac:dyDescent="0.25">
      <c r="D973" s="33"/>
      <c r="E973" s="33">
        <v>943</v>
      </c>
      <c r="F973" s="37"/>
      <c r="G973" s="37"/>
      <c r="H973" s="37">
        <f t="shared" si="761"/>
        <v>868800</v>
      </c>
      <c r="I973" s="37">
        <f ca="1">(RANDBETWEEN($E$14,$F$14)*$I$9)+$I$10+$I$18</f>
        <v>-189819.59895313275</v>
      </c>
      <c r="J973" s="37">
        <f ca="1">(RANDBETWEEN($E$14,$F$14)*$J$9)+$J$10+$J$18</f>
        <v>221933.48456383706</v>
      </c>
      <c r="K973" s="37">
        <f ca="1">(RANDBETWEEN($E$14,$F$14)*$K$9)+$K$10+$K$18</f>
        <v>24363.532183028292</v>
      </c>
      <c r="L973" s="37">
        <f ca="1">(RANDBETWEEN($E$14,$F$14)*$L$9)+$L$10+$L$18</f>
        <v>999716.39339203853</v>
      </c>
      <c r="M973" s="37">
        <f ca="1">(RANDBETWEEN($E$14,$F$14)*$M$9)+$M$10+$M$18</f>
        <v>1043245.7659826493</v>
      </c>
      <c r="N973" s="37">
        <f t="shared" ref="N973" ca="1" si="939">NPV($E$23+$F$23,H973:M973)+$H$4</f>
        <v>1369187.0324723539</v>
      </c>
    </row>
    <row r="974" spans="4:17" x14ac:dyDescent="0.25">
      <c r="D974" s="33"/>
      <c r="E974" s="33">
        <v>944</v>
      </c>
      <c r="F974" s="37"/>
      <c r="G974" s="37"/>
      <c r="H974" s="37">
        <f t="shared" si="761"/>
        <v>868800</v>
      </c>
      <c r="I974" s="37">
        <f ca="1">(RANDBETWEEN($E$14,$F$14)*$I$9)+$I$10+$I$18</f>
        <v>-189819.59895313275</v>
      </c>
      <c r="J974" s="37">
        <f ca="1">(RANDBETWEEN($E$14,$F$14)*$J$9)+$J$10+$J$18</f>
        <v>-9238.8910066427197</v>
      </c>
      <c r="K974" s="37">
        <f ca="1">(RANDBETWEEN($E$14,$F$14)*$K$9)+$K$10+$K$18</f>
        <v>260393.25392346107</v>
      </c>
      <c r="L974" s="37">
        <f ca="1">(RANDBETWEEN($E$14,$F$14)*$L$9)+$L$10+$L$18</f>
        <v>999716.39339203853</v>
      </c>
      <c r="M974" s="37">
        <f ca="1">(RANDBETWEEN($E$14,$F$14)*$M$9)+$M$10+$M$18</f>
        <v>1424944.0925515993</v>
      </c>
      <c r="N974" s="37">
        <f t="shared" ref="N974" ca="1" si="940">NPV($E$23+$F$23,H974:M974)+$H$4</f>
        <v>1648503.0470692138</v>
      </c>
    </row>
    <row r="975" spans="4:17" x14ac:dyDescent="0.25">
      <c r="D975" s="33"/>
      <c r="E975" s="33">
        <v>945</v>
      </c>
      <c r="F975" s="37"/>
      <c r="G975" s="37"/>
      <c r="H975" s="37">
        <f t="shared" si="761"/>
        <v>868800</v>
      </c>
      <c r="I975" s="37">
        <f ca="1">(RANDBETWEEN($E$14,$F$14)*$I$9)+$I$10+$I$18</f>
        <v>-369472.96408399101</v>
      </c>
      <c r="J975" s="37">
        <f ca="1">(RANDBETWEEN($E$14,$F$14)*$J$9)+$J$10+$J$18</f>
        <v>-9238.8910066427197</v>
      </c>
      <c r="K975" s="37">
        <f ca="1">(RANDBETWEEN($E$14,$F$14)*$K$9)+$K$10+$K$18</f>
        <v>24363.532183028292</v>
      </c>
      <c r="L975" s="37">
        <f ca="1">(RANDBETWEEN($E$14,$F$14)*$L$9)+$L$10+$L$18</f>
        <v>671221.40421803342</v>
      </c>
      <c r="M975" s="37">
        <f ca="1">(RANDBETWEEN($E$14,$F$14)*$M$9)+$M$10+$M$18</f>
        <v>1424944.0925515993</v>
      </c>
      <c r="N975" s="37">
        <f t="shared" ref="N975" ca="1" si="941">NPV($E$23+$F$23,H975:M975)+$H$4</f>
        <v>1033985.4932194382</v>
      </c>
    </row>
    <row r="976" spans="4:17" x14ac:dyDescent="0.25">
      <c r="D976" s="33"/>
      <c r="E976" s="33">
        <v>946</v>
      </c>
      <c r="F976" s="37"/>
      <c r="G976" s="37"/>
      <c r="H976" s="37">
        <f t="shared" si="761"/>
        <v>868800</v>
      </c>
      <c r="I976" s="37">
        <f ca="1">(RANDBETWEEN($E$14,$F$14)*$I$9)+$I$10+$I$18</f>
        <v>-189819.59895313275</v>
      </c>
      <c r="J976" s="37">
        <f ca="1">(RANDBETWEEN($E$14,$F$14)*$J$9)+$J$10+$J$18</f>
        <v>-9238.8910066427197</v>
      </c>
      <c r="K976" s="37">
        <f ca="1">(RANDBETWEEN($E$14,$F$14)*$K$9)+$K$10+$K$18</f>
        <v>24363.532183028292</v>
      </c>
      <c r="L976" s="37">
        <f ca="1">(RANDBETWEEN($E$14,$F$14)*$L$9)+$L$10+$L$18</f>
        <v>999716.39339203853</v>
      </c>
      <c r="M976" s="37">
        <f ca="1">(RANDBETWEEN($E$14,$F$14)*$M$9)+$M$10+$M$18</f>
        <v>1043245.7659826493</v>
      </c>
      <c r="N976" s="37">
        <f t="shared" ref="N976" ca="1" si="942">NPV($E$23+$F$23,H976:M976)+$H$4</f>
        <v>1169491.6427127346</v>
      </c>
    </row>
    <row r="977" spans="4:17" x14ac:dyDescent="0.25">
      <c r="D977" s="33"/>
      <c r="E977" s="33">
        <v>947</v>
      </c>
      <c r="F977" s="37"/>
      <c r="G977" s="37"/>
      <c r="H977" s="37">
        <f t="shared" si="761"/>
        <v>868800</v>
      </c>
      <c r="I977" s="37">
        <f ca="1">(RANDBETWEEN($E$14,$F$14)*$I$9)+$I$10+$I$18</f>
        <v>-189819.59895313275</v>
      </c>
      <c r="J977" s="37">
        <f ca="1">(RANDBETWEEN($E$14,$F$14)*$J$9)+$J$10+$J$18</f>
        <v>221933.48456383706</v>
      </c>
      <c r="K977" s="37">
        <f ca="1">(RANDBETWEEN($E$14,$F$14)*$K$9)+$K$10+$K$18</f>
        <v>260393.25392346107</v>
      </c>
      <c r="L977" s="37">
        <f ca="1">(RANDBETWEEN($E$14,$F$14)*$L$9)+$L$10+$L$18</f>
        <v>999716.39339203853</v>
      </c>
      <c r="M977" s="37">
        <f ca="1">(RANDBETWEEN($E$14,$F$14)*$M$9)+$M$10+$M$18</f>
        <v>1424944.0925515993</v>
      </c>
      <c r="N977" s="37">
        <f t="shared" ref="N977" ca="1" si="943">NPV($E$23+$F$23,H977:M977)+$H$4</f>
        <v>1848198.4368288331</v>
      </c>
    </row>
    <row r="978" spans="4:17" x14ac:dyDescent="0.25">
      <c r="D978" s="33"/>
      <c r="E978" s="33">
        <v>948</v>
      </c>
      <c r="F978" s="37"/>
      <c r="G978" s="37"/>
      <c r="H978" s="37">
        <f t="shared" si="761"/>
        <v>868800</v>
      </c>
      <c r="I978" s="37">
        <f ca="1">(RANDBETWEEN($E$14,$F$14)*$I$9)+$I$10+$I$18</f>
        <v>-189819.59895313275</v>
      </c>
      <c r="J978" s="37">
        <f ca="1">(RANDBETWEEN($E$14,$F$14)*$J$9)+$J$10+$J$18</f>
        <v>221933.48456383706</v>
      </c>
      <c r="K978" s="37">
        <f ca="1">(RANDBETWEEN($E$14,$F$14)*$K$9)+$K$10+$K$18</f>
        <v>24363.532183028292</v>
      </c>
      <c r="L978" s="37">
        <f ca="1">(RANDBETWEEN($E$14,$F$14)*$L$9)+$L$10+$L$18</f>
        <v>671221.40421803342</v>
      </c>
      <c r="M978" s="37">
        <f ca="1">(RANDBETWEEN($E$14,$F$14)*$M$9)+$M$10+$M$18</f>
        <v>1424944.0925515993</v>
      </c>
      <c r="N978" s="37">
        <f t="shared" ref="N978" ca="1" si="944">NPV($E$23+$F$23,H978:M978)+$H$4</f>
        <v>1396631.7810569336</v>
      </c>
    </row>
    <row r="979" spans="4:17" x14ac:dyDescent="0.25">
      <c r="D979" s="33"/>
      <c r="E979" s="33">
        <v>949</v>
      </c>
      <c r="F979" s="37"/>
      <c r="G979" s="37"/>
      <c r="H979" s="37">
        <f t="shared" si="761"/>
        <v>868800</v>
      </c>
      <c r="I979" s="37">
        <f ca="1">(RANDBETWEEN($E$14,$F$14)*$I$9)+$I$10+$I$18</f>
        <v>-189819.59895313275</v>
      </c>
      <c r="J979" s="37">
        <f ca="1">(RANDBETWEEN($E$14,$F$14)*$J$9)+$J$10+$J$18</f>
        <v>-9238.8910066427197</v>
      </c>
      <c r="K979" s="37">
        <f ca="1">(RANDBETWEEN($E$14,$F$14)*$K$9)+$K$10+$K$18</f>
        <v>24363.532183028292</v>
      </c>
      <c r="L979" s="37">
        <f ca="1">(RANDBETWEEN($E$14,$F$14)*$L$9)+$L$10+$L$18</f>
        <v>999716.39339203853</v>
      </c>
      <c r="M979" s="37">
        <f ca="1">(RANDBETWEEN($E$14,$F$14)*$M$9)+$M$10+$M$18</f>
        <v>1424944.0925515993</v>
      </c>
      <c r="N979" s="37">
        <f t="shared" ref="N979" ca="1" si="945">NPV($E$23+$F$23,H979:M979)+$H$4</f>
        <v>1454320.8108689203</v>
      </c>
      <c r="Q979" s="37"/>
    </row>
    <row r="980" spans="4:17" x14ac:dyDescent="0.25">
      <c r="D980" s="33"/>
      <c r="E980" s="33">
        <v>950</v>
      </c>
      <c r="F980" s="37"/>
      <c r="G980" s="37"/>
      <c r="H980" s="37">
        <f t="shared" si="761"/>
        <v>868800</v>
      </c>
      <c r="I980" s="37">
        <f ca="1">(RANDBETWEEN($E$14,$F$14)*$I$9)+$I$10+$I$18</f>
        <v>-189819.59895313275</v>
      </c>
      <c r="J980" s="37">
        <f ca="1">(RANDBETWEEN($E$14,$F$14)*$J$9)+$J$10+$J$18</f>
        <v>-9238.8910066427197</v>
      </c>
      <c r="K980" s="37">
        <f ca="1">(RANDBETWEEN($E$14,$F$14)*$K$9)+$K$10+$K$18</f>
        <v>260393.25392346107</v>
      </c>
      <c r="L980" s="37">
        <f ca="1">(RANDBETWEEN($E$14,$F$14)*$L$9)+$L$10+$L$18</f>
        <v>671221.40421803342</v>
      </c>
      <c r="M980" s="37">
        <f ca="1">(RANDBETWEEN($E$14,$F$14)*$M$9)+$M$10+$M$18</f>
        <v>1424944.0925515993</v>
      </c>
      <c r="N980" s="37">
        <f t="shared" ref="N980" ca="1" si="946">NPV($E$23+$F$23,H980:M980)+$H$4</f>
        <v>1391118.6274976074</v>
      </c>
      <c r="Q980" s="37"/>
    </row>
    <row r="981" spans="4:17" x14ac:dyDescent="0.25">
      <c r="D981" s="33"/>
      <c r="E981" s="33">
        <v>951</v>
      </c>
      <c r="F981" s="37"/>
      <c r="G981" s="37"/>
      <c r="H981" s="37">
        <f t="shared" si="761"/>
        <v>868800</v>
      </c>
      <c r="I981" s="37">
        <f ca="1">(RANDBETWEEN($E$14,$F$14)*$I$9)+$I$10+$I$18</f>
        <v>-189819.59895313275</v>
      </c>
      <c r="J981" s="37">
        <f ca="1">(RANDBETWEEN($E$14,$F$14)*$J$9)+$J$10+$J$18</f>
        <v>221933.48456383706</v>
      </c>
      <c r="K981" s="37">
        <f ca="1">(RANDBETWEEN($E$14,$F$14)*$K$9)+$K$10+$K$18</f>
        <v>260393.25392346107</v>
      </c>
      <c r="L981" s="37">
        <f ca="1">(RANDBETWEEN($E$14,$F$14)*$L$9)+$L$10+$L$18</f>
        <v>671221.40421803342</v>
      </c>
      <c r="M981" s="37">
        <f ca="1">(RANDBETWEEN($E$14,$F$14)*$M$9)+$M$10+$M$18</f>
        <v>1043245.7659826493</v>
      </c>
      <c r="N981" s="37">
        <f t="shared" ref="N981" ca="1" si="947">NPV($E$23+$F$23,H981:M981)+$H$4</f>
        <v>1305984.8491010414</v>
      </c>
    </row>
    <row r="982" spans="4:17" x14ac:dyDescent="0.25">
      <c r="D982" s="33"/>
      <c r="E982" s="33">
        <v>952</v>
      </c>
      <c r="F982" s="37"/>
      <c r="G982" s="37"/>
      <c r="H982" s="37">
        <f t="shared" si="761"/>
        <v>868800</v>
      </c>
      <c r="I982" s="37">
        <f ca="1">(RANDBETWEEN($E$14,$F$14)*$I$9)+$I$10+$I$18</f>
        <v>-189819.59895313275</v>
      </c>
      <c r="J982" s="37">
        <f ca="1">(RANDBETWEEN($E$14,$F$14)*$J$9)+$J$10+$J$18</f>
        <v>-9238.8910066427197</v>
      </c>
      <c r="K982" s="37">
        <f ca="1">(RANDBETWEEN($E$14,$F$14)*$K$9)+$K$10+$K$18</f>
        <v>24363.532183028292</v>
      </c>
      <c r="L982" s="37">
        <f ca="1">(RANDBETWEEN($E$14,$F$14)*$L$9)+$L$10+$L$18</f>
        <v>671221.40421803342</v>
      </c>
      <c r="M982" s="37">
        <f ca="1">(RANDBETWEEN($E$14,$F$14)*$M$9)+$M$10+$M$18</f>
        <v>1043245.7659826493</v>
      </c>
      <c r="N982" s="37">
        <f t="shared" ref="N982" ca="1" si="948">NPV($E$23+$F$23,H982:M982)+$H$4</f>
        <v>912107.22314112843</v>
      </c>
    </row>
    <row r="983" spans="4:17" x14ac:dyDescent="0.25">
      <c r="D983" s="33"/>
      <c r="E983" s="33">
        <v>953</v>
      </c>
      <c r="F983" s="37"/>
      <c r="G983" s="37"/>
      <c r="H983" s="37">
        <f t="shared" si="761"/>
        <v>868800</v>
      </c>
      <c r="I983" s="37">
        <f ca="1">(RANDBETWEEN($E$14,$F$14)*$I$9)+$I$10+$I$18</f>
        <v>-189819.59895313275</v>
      </c>
      <c r="J983" s="37">
        <f ca="1">(RANDBETWEEN($E$14,$F$14)*$J$9)+$J$10+$J$18</f>
        <v>-9238.8910066427197</v>
      </c>
      <c r="K983" s="37">
        <f ca="1">(RANDBETWEEN($E$14,$F$14)*$K$9)+$K$10+$K$18</f>
        <v>260393.25392346107</v>
      </c>
      <c r="L983" s="37">
        <f ca="1">(RANDBETWEEN($E$14,$F$14)*$L$9)+$L$10+$L$18</f>
        <v>671221.40421803342</v>
      </c>
      <c r="M983" s="37">
        <f ca="1">(RANDBETWEEN($E$14,$F$14)*$M$9)+$M$10+$M$18</f>
        <v>1043245.7659826493</v>
      </c>
      <c r="N983" s="37">
        <f t="shared" ref="N983" ca="1" si="949">NPV($E$23+$F$23,H983:M983)+$H$4</f>
        <v>1106289.4593414213</v>
      </c>
    </row>
    <row r="984" spans="4:17" x14ac:dyDescent="0.25">
      <c r="D984" s="33"/>
      <c r="E984" s="33">
        <v>954</v>
      </c>
      <c r="F984" s="37"/>
      <c r="G984" s="37"/>
      <c r="H984" s="37">
        <f t="shared" si="761"/>
        <v>868800</v>
      </c>
      <c r="I984" s="37">
        <f ca="1">(RANDBETWEEN($E$14,$F$14)*$I$9)+$I$10+$I$18</f>
        <v>-369472.96408399101</v>
      </c>
      <c r="J984" s="37">
        <f ca="1">(RANDBETWEEN($E$14,$F$14)*$J$9)+$J$10+$J$18</f>
        <v>-9238.8910066427197</v>
      </c>
      <c r="K984" s="37">
        <f ca="1">(RANDBETWEEN($E$14,$F$14)*$K$9)+$K$10+$K$18</f>
        <v>260393.25392346107</v>
      </c>
      <c r="L984" s="37">
        <f ca="1">(RANDBETWEEN($E$14,$F$14)*$L$9)+$L$10+$L$18</f>
        <v>671221.40421803342</v>
      </c>
      <c r="M984" s="37">
        <f ca="1">(RANDBETWEEN($E$14,$F$14)*$M$9)+$M$10+$M$18</f>
        <v>1424944.0925515993</v>
      </c>
      <c r="N984" s="37">
        <f t="shared" ref="N984" ca="1" si="950">NPV($E$23+$F$23,H984:M984)+$H$4</f>
        <v>1228167.7294197315</v>
      </c>
    </row>
    <row r="985" spans="4:17" x14ac:dyDescent="0.25">
      <c r="D985" s="33"/>
      <c r="E985" s="33">
        <v>955</v>
      </c>
      <c r="F985" s="37"/>
      <c r="G985" s="37"/>
      <c r="H985" s="37">
        <f t="shared" si="761"/>
        <v>868800</v>
      </c>
      <c r="I985" s="37">
        <f ca="1">(RANDBETWEEN($E$14,$F$14)*$I$9)+$I$10+$I$18</f>
        <v>-189819.59895313275</v>
      </c>
      <c r="J985" s="37">
        <f ca="1">(RANDBETWEEN($E$14,$F$14)*$J$9)+$J$10+$J$18</f>
        <v>-9238.8910066427197</v>
      </c>
      <c r="K985" s="37">
        <f ca="1">(RANDBETWEEN($E$14,$F$14)*$K$9)+$K$10+$K$18</f>
        <v>24363.532183028292</v>
      </c>
      <c r="L985" s="37">
        <f ca="1">(RANDBETWEEN($E$14,$F$14)*$L$9)+$L$10+$L$18</f>
        <v>671221.40421803342</v>
      </c>
      <c r="M985" s="37">
        <f ca="1">(RANDBETWEEN($E$14,$F$14)*$M$9)+$M$10+$M$18</f>
        <v>1424944.0925515993</v>
      </c>
      <c r="N985" s="37">
        <f t="shared" ref="N985" ca="1" si="951">NPV($E$23+$F$23,H985:M985)+$H$4</f>
        <v>1196936.3912973143</v>
      </c>
    </row>
    <row r="986" spans="4:17" x14ac:dyDescent="0.25">
      <c r="D986" s="33"/>
      <c r="E986" s="33">
        <v>956</v>
      </c>
      <c r="F986" s="37"/>
      <c r="G986" s="37"/>
      <c r="H986" s="37">
        <f t="shared" si="761"/>
        <v>868800</v>
      </c>
      <c r="I986" s="37">
        <f ca="1">(RANDBETWEEN($E$14,$F$14)*$I$9)+$I$10+$I$18</f>
        <v>-369472.96408399101</v>
      </c>
      <c r="J986" s="37">
        <f ca="1">(RANDBETWEEN($E$14,$F$14)*$J$9)+$J$10+$J$18</f>
        <v>-9238.8910066427197</v>
      </c>
      <c r="K986" s="37">
        <f ca="1">(RANDBETWEEN($E$14,$F$14)*$K$9)+$K$10+$K$18</f>
        <v>24363.532183028292</v>
      </c>
      <c r="L986" s="37">
        <f ca="1">(RANDBETWEEN($E$14,$F$14)*$L$9)+$L$10+$L$18</f>
        <v>999716.39339203853</v>
      </c>
      <c r="M986" s="37">
        <f ca="1">(RANDBETWEEN($E$14,$F$14)*$M$9)+$M$10+$M$18</f>
        <v>1043245.7659826493</v>
      </c>
      <c r="N986" s="37">
        <f t="shared" ref="N986" ca="1" si="952">NPV($E$23+$F$23,H986:M986)+$H$4</f>
        <v>1006540.7446348586</v>
      </c>
    </row>
    <row r="987" spans="4:17" x14ac:dyDescent="0.25">
      <c r="D987" s="33"/>
      <c r="E987" s="33">
        <v>957</v>
      </c>
      <c r="F987" s="37"/>
      <c r="G987" s="37"/>
      <c r="H987" s="37">
        <f t="shared" si="761"/>
        <v>868800</v>
      </c>
      <c r="I987" s="37">
        <f ca="1">(RANDBETWEEN($E$14,$F$14)*$I$9)+$I$10+$I$18</f>
        <v>-189819.59895313275</v>
      </c>
      <c r="J987" s="37">
        <f ca="1">(RANDBETWEEN($E$14,$F$14)*$J$9)+$J$10+$J$18</f>
        <v>-9238.8910066427197</v>
      </c>
      <c r="K987" s="37">
        <f ca="1">(RANDBETWEEN($E$14,$F$14)*$K$9)+$K$10+$K$18</f>
        <v>260393.25392346107</v>
      </c>
      <c r="L987" s="37">
        <f ca="1">(RANDBETWEEN($E$14,$F$14)*$L$9)+$L$10+$L$18</f>
        <v>999716.39339203853</v>
      </c>
      <c r="M987" s="37">
        <f ca="1">(RANDBETWEEN($E$14,$F$14)*$M$9)+$M$10+$M$18</f>
        <v>1424944.0925515993</v>
      </c>
      <c r="N987" s="37">
        <f t="shared" ref="N987" ca="1" si="953">NPV($E$23+$F$23,H987:M987)+$H$4</f>
        <v>1648503.0470692138</v>
      </c>
      <c r="Q987" s="37"/>
    </row>
    <row r="988" spans="4:17" x14ac:dyDescent="0.25">
      <c r="D988" s="33"/>
      <c r="E988" s="33">
        <v>958</v>
      </c>
      <c r="F988" s="37"/>
      <c r="G988" s="37"/>
      <c r="H988" s="37">
        <f t="shared" si="761"/>
        <v>868800</v>
      </c>
      <c r="I988" s="37">
        <f ca="1">(RANDBETWEEN($E$14,$F$14)*$I$9)+$I$10+$I$18</f>
        <v>-189819.59895313275</v>
      </c>
      <c r="J988" s="37">
        <f ca="1">(RANDBETWEEN($E$14,$F$14)*$J$9)+$J$10+$J$18</f>
        <v>-9238.8910066427197</v>
      </c>
      <c r="K988" s="37">
        <f ca="1">(RANDBETWEEN($E$14,$F$14)*$K$9)+$K$10+$K$18</f>
        <v>260393.25392346107</v>
      </c>
      <c r="L988" s="37">
        <f ca="1">(RANDBETWEEN($E$14,$F$14)*$L$9)+$L$10+$L$18</f>
        <v>671221.40421803342</v>
      </c>
      <c r="M988" s="37">
        <f ca="1">(RANDBETWEEN($E$14,$F$14)*$M$9)+$M$10+$M$18</f>
        <v>1043245.7659826493</v>
      </c>
      <c r="N988" s="37">
        <f t="shared" ref="N988" ca="1" si="954">NPV($E$23+$F$23,H988:M988)+$H$4</f>
        <v>1106289.4593414213</v>
      </c>
    </row>
    <row r="989" spans="4:17" x14ac:dyDescent="0.25">
      <c r="D989" s="33"/>
      <c r="E989" s="33">
        <v>959</v>
      </c>
      <c r="F989" s="37"/>
      <c r="G989" s="37"/>
      <c r="H989" s="37">
        <f t="shared" si="761"/>
        <v>868800</v>
      </c>
      <c r="I989" s="37">
        <f ca="1">(RANDBETWEEN($E$14,$F$14)*$I$9)+$I$10+$I$18</f>
        <v>-189819.59895313275</v>
      </c>
      <c r="J989" s="37">
        <f ca="1">(RANDBETWEEN($E$14,$F$14)*$J$9)+$J$10+$J$18</f>
        <v>221933.48456383706</v>
      </c>
      <c r="K989" s="37">
        <f ca="1">(RANDBETWEEN($E$14,$F$14)*$K$9)+$K$10+$K$18</f>
        <v>24363.532183028292</v>
      </c>
      <c r="L989" s="37">
        <f ca="1">(RANDBETWEEN($E$14,$F$14)*$L$9)+$L$10+$L$18</f>
        <v>999716.39339203853</v>
      </c>
      <c r="M989" s="37">
        <f ca="1">(RANDBETWEEN($E$14,$F$14)*$M$9)+$M$10+$M$18</f>
        <v>1424944.0925515993</v>
      </c>
      <c r="N989" s="37">
        <f t="shared" ref="N989" ca="1" si="955">NPV($E$23+$F$23,H989:M989)+$H$4</f>
        <v>1654016.20062854</v>
      </c>
    </row>
    <row r="990" spans="4:17" x14ac:dyDescent="0.25">
      <c r="D990" s="33"/>
      <c r="E990" s="33">
        <v>960</v>
      </c>
      <c r="F990" s="37"/>
      <c r="G990" s="37"/>
      <c r="H990" s="37">
        <f t="shared" si="761"/>
        <v>868800</v>
      </c>
      <c r="I990" s="37">
        <f ca="1">(RANDBETWEEN($E$14,$F$14)*$I$9)+$I$10+$I$18</f>
        <v>-189819.59895313275</v>
      </c>
      <c r="J990" s="37">
        <f ca="1">(RANDBETWEEN($E$14,$F$14)*$J$9)+$J$10+$J$18</f>
        <v>221933.48456383706</v>
      </c>
      <c r="K990" s="37">
        <f ca="1">(RANDBETWEEN($E$14,$F$14)*$K$9)+$K$10+$K$18</f>
        <v>24363.532183028292</v>
      </c>
      <c r="L990" s="37">
        <f ca="1">(RANDBETWEEN($E$14,$F$14)*$L$9)+$L$10+$L$18</f>
        <v>999716.39339203853</v>
      </c>
      <c r="M990" s="37">
        <f ca="1">(RANDBETWEEN($E$14,$F$14)*$M$9)+$M$10+$M$18</f>
        <v>1043245.7659826493</v>
      </c>
      <c r="N990" s="37">
        <f t="shared" ref="N990" ca="1" si="956">NPV($E$23+$F$23,H990:M990)+$H$4</f>
        <v>1369187.0324723539</v>
      </c>
    </row>
    <row r="991" spans="4:17" x14ac:dyDescent="0.25">
      <c r="D991" s="33"/>
      <c r="E991" s="33">
        <v>961</v>
      </c>
      <c r="F991" s="37"/>
      <c r="G991" s="37"/>
      <c r="H991" s="37">
        <f t="shared" si="761"/>
        <v>868800</v>
      </c>
      <c r="I991" s="37">
        <f ca="1">(RANDBETWEEN($E$14,$F$14)*$I$9)+$I$10+$I$18</f>
        <v>-189819.59895313275</v>
      </c>
      <c r="J991" s="37">
        <f ca="1">(RANDBETWEEN($E$14,$F$14)*$J$9)+$J$10+$J$18</f>
        <v>-9238.8910066427197</v>
      </c>
      <c r="K991" s="37">
        <f ca="1">(RANDBETWEEN($E$14,$F$14)*$K$9)+$K$10+$K$18</f>
        <v>24363.532183028292</v>
      </c>
      <c r="L991" s="37">
        <f ca="1">(RANDBETWEEN($E$14,$F$14)*$L$9)+$L$10+$L$18</f>
        <v>999716.39339203853</v>
      </c>
      <c r="M991" s="37">
        <f ca="1">(RANDBETWEEN($E$14,$F$14)*$M$9)+$M$10+$M$18</f>
        <v>1424944.0925515993</v>
      </c>
      <c r="N991" s="37">
        <f t="shared" ref="N991" ca="1" si="957">NPV($E$23+$F$23,H991:M991)+$H$4</f>
        <v>1454320.8108689203</v>
      </c>
    </row>
    <row r="992" spans="4:17" x14ac:dyDescent="0.25">
      <c r="D992" s="33"/>
      <c r="E992" s="33">
        <v>962</v>
      </c>
      <c r="F992" s="37"/>
      <c r="G992" s="37"/>
      <c r="H992" s="37">
        <f t="shared" si="761"/>
        <v>868800</v>
      </c>
      <c r="I992" s="37">
        <f ca="1">(RANDBETWEEN($E$14,$F$14)*$I$9)+$I$10+$I$18</f>
        <v>-369472.96408399101</v>
      </c>
      <c r="J992" s="37">
        <f ca="1">(RANDBETWEEN($E$14,$F$14)*$J$9)+$J$10+$J$18</f>
        <v>-9238.8910066427197</v>
      </c>
      <c r="K992" s="37">
        <f ca="1">(RANDBETWEEN($E$14,$F$14)*$K$9)+$K$10+$K$18</f>
        <v>24363.532183028292</v>
      </c>
      <c r="L992" s="37">
        <f ca="1">(RANDBETWEEN($E$14,$F$14)*$L$9)+$L$10+$L$18</f>
        <v>671221.40421803342</v>
      </c>
      <c r="M992" s="37">
        <f ca="1">(RANDBETWEEN($E$14,$F$14)*$M$9)+$M$10+$M$18</f>
        <v>1043245.7659826493</v>
      </c>
      <c r="N992" s="37">
        <f t="shared" ref="N992" ca="1" si="958">NPV($E$23+$F$23,H992:M992)+$H$4</f>
        <v>749156.32506325236</v>
      </c>
    </row>
    <row r="993" spans="4:17" x14ac:dyDescent="0.25">
      <c r="D993" s="33"/>
      <c r="E993" s="33">
        <v>963</v>
      </c>
      <c r="F993" s="37"/>
      <c r="G993" s="37"/>
      <c r="H993" s="37">
        <f t="shared" si="761"/>
        <v>868800</v>
      </c>
      <c r="I993" s="37">
        <f ca="1">(RANDBETWEEN($E$14,$F$14)*$I$9)+$I$10+$I$18</f>
        <v>-369472.96408399101</v>
      </c>
      <c r="J993" s="37">
        <f ca="1">(RANDBETWEEN($E$14,$F$14)*$J$9)+$J$10+$J$18</f>
        <v>221933.48456383706</v>
      </c>
      <c r="K993" s="37">
        <f ca="1">(RANDBETWEEN($E$14,$F$14)*$K$9)+$K$10+$K$18</f>
        <v>260393.25392346107</v>
      </c>
      <c r="L993" s="37">
        <f ca="1">(RANDBETWEEN($E$14,$F$14)*$L$9)+$L$10+$L$18</f>
        <v>999716.39339203853</v>
      </c>
      <c r="M993" s="37">
        <f ca="1">(RANDBETWEEN($E$14,$F$14)*$M$9)+$M$10+$M$18</f>
        <v>1043245.7659826493</v>
      </c>
      <c r="N993" s="37">
        <f t="shared" ref="N993" ca="1" si="959">NPV($E$23+$F$23,H993:M993)+$H$4</f>
        <v>1400418.3705947716</v>
      </c>
    </row>
    <row r="994" spans="4:17" x14ac:dyDescent="0.25">
      <c r="D994" s="33"/>
      <c r="E994" s="33">
        <v>964</v>
      </c>
      <c r="F994" s="37"/>
      <c r="G994" s="37"/>
      <c r="H994" s="37">
        <f t="shared" si="761"/>
        <v>868800</v>
      </c>
      <c r="I994" s="37">
        <f ca="1">(RANDBETWEEN($E$14,$F$14)*$I$9)+$I$10+$I$18</f>
        <v>-189819.59895313275</v>
      </c>
      <c r="J994" s="37">
        <f ca="1">(RANDBETWEEN($E$14,$F$14)*$J$9)+$J$10+$J$18</f>
        <v>-9238.8910066427197</v>
      </c>
      <c r="K994" s="37">
        <f ca="1">(RANDBETWEEN($E$14,$F$14)*$K$9)+$K$10+$K$18</f>
        <v>24363.532183028292</v>
      </c>
      <c r="L994" s="37">
        <f ca="1">(RANDBETWEEN($E$14,$F$14)*$L$9)+$L$10+$L$18</f>
        <v>999716.39339203853</v>
      </c>
      <c r="M994" s="37">
        <f ca="1">(RANDBETWEEN($E$14,$F$14)*$M$9)+$M$10+$M$18</f>
        <v>1043245.7659826493</v>
      </c>
      <c r="N994" s="37">
        <f t="shared" ref="N994" ca="1" si="960">NPV($E$23+$F$23,H994:M994)+$H$4</f>
        <v>1169491.6427127346</v>
      </c>
    </row>
    <row r="995" spans="4:17" x14ac:dyDescent="0.25">
      <c r="D995" s="33"/>
      <c r="E995" s="33">
        <v>965</v>
      </c>
      <c r="F995" s="37"/>
      <c r="G995" s="37"/>
      <c r="H995" s="37">
        <f t="shared" si="761"/>
        <v>868800</v>
      </c>
      <c r="I995" s="37">
        <f ca="1">(RANDBETWEEN($E$14,$F$14)*$I$9)+$I$10+$I$18</f>
        <v>-189819.59895313275</v>
      </c>
      <c r="J995" s="37">
        <f ca="1">(RANDBETWEEN($E$14,$F$14)*$J$9)+$J$10+$J$18</f>
        <v>-9238.8910066427197</v>
      </c>
      <c r="K995" s="37">
        <f ca="1">(RANDBETWEEN($E$14,$F$14)*$K$9)+$K$10+$K$18</f>
        <v>260393.25392346107</v>
      </c>
      <c r="L995" s="37">
        <f ca="1">(RANDBETWEEN($E$14,$F$14)*$L$9)+$L$10+$L$18</f>
        <v>671221.40421803342</v>
      </c>
      <c r="M995" s="37">
        <f ca="1">(RANDBETWEEN($E$14,$F$14)*$M$9)+$M$10+$M$18</f>
        <v>1424944.0925515993</v>
      </c>
      <c r="N995" s="37">
        <f t="shared" ref="N995" ca="1" si="961">NPV($E$23+$F$23,H995:M995)+$H$4</f>
        <v>1391118.6274976074</v>
      </c>
    </row>
    <row r="996" spans="4:17" x14ac:dyDescent="0.25">
      <c r="D996" s="33"/>
      <c r="E996" s="33">
        <v>966</v>
      </c>
      <c r="F996" s="37"/>
      <c r="G996" s="37"/>
      <c r="H996" s="37">
        <f t="shared" si="761"/>
        <v>868800</v>
      </c>
      <c r="I996" s="37">
        <f ca="1">(RANDBETWEEN($E$14,$F$14)*$I$9)+$I$10+$I$18</f>
        <v>-189819.59895313275</v>
      </c>
      <c r="J996" s="37">
        <f ca="1">(RANDBETWEEN($E$14,$F$14)*$J$9)+$J$10+$J$18</f>
        <v>221933.48456383706</v>
      </c>
      <c r="K996" s="37">
        <f ca="1">(RANDBETWEEN($E$14,$F$14)*$K$9)+$K$10+$K$18</f>
        <v>24363.532183028292</v>
      </c>
      <c r="L996" s="37">
        <f ca="1">(RANDBETWEEN($E$14,$F$14)*$L$9)+$L$10+$L$18</f>
        <v>671221.40421803342</v>
      </c>
      <c r="M996" s="37">
        <f ca="1">(RANDBETWEEN($E$14,$F$14)*$M$9)+$M$10+$M$18</f>
        <v>1424944.0925515993</v>
      </c>
      <c r="N996" s="37">
        <f t="shared" ref="N996" ca="1" si="962">NPV($E$23+$F$23,H996:M996)+$H$4</f>
        <v>1396631.7810569336</v>
      </c>
      <c r="Q996" s="37"/>
    </row>
    <row r="997" spans="4:17" x14ac:dyDescent="0.25">
      <c r="D997" s="33"/>
      <c r="E997" s="33">
        <v>967</v>
      </c>
      <c r="F997" s="37"/>
      <c r="G997" s="37"/>
      <c r="H997" s="37">
        <f t="shared" si="761"/>
        <v>868800</v>
      </c>
      <c r="I997" s="37">
        <f ca="1">(RANDBETWEEN($E$14,$F$14)*$I$9)+$I$10+$I$18</f>
        <v>-369472.96408399101</v>
      </c>
      <c r="J997" s="37">
        <f ca="1">(RANDBETWEEN($E$14,$F$14)*$J$9)+$J$10+$J$18</f>
        <v>-9238.8910066427197</v>
      </c>
      <c r="K997" s="37">
        <f ca="1">(RANDBETWEEN($E$14,$F$14)*$K$9)+$K$10+$K$18</f>
        <v>24363.532183028292</v>
      </c>
      <c r="L997" s="37">
        <f ca="1">(RANDBETWEEN($E$14,$F$14)*$L$9)+$L$10+$L$18</f>
        <v>999716.39339203853</v>
      </c>
      <c r="M997" s="37">
        <f ca="1">(RANDBETWEEN($E$14,$F$14)*$M$9)+$M$10+$M$18</f>
        <v>1043245.7659826493</v>
      </c>
      <c r="N997" s="37">
        <f t="shared" ref="N997" ca="1" si="963">NPV($E$23+$F$23,H997:M997)+$H$4</f>
        <v>1006540.7446348586</v>
      </c>
    </row>
    <row r="998" spans="4:17" x14ac:dyDescent="0.25">
      <c r="D998" s="33"/>
      <c r="E998" s="33">
        <v>968</v>
      </c>
      <c r="F998" s="37"/>
      <c r="G998" s="37"/>
      <c r="H998" s="37">
        <f t="shared" si="761"/>
        <v>868800</v>
      </c>
      <c r="I998" s="37">
        <f ca="1">(RANDBETWEEN($E$14,$F$14)*$I$9)+$I$10+$I$18</f>
        <v>-189819.59895313275</v>
      </c>
      <c r="J998" s="37">
        <f ca="1">(RANDBETWEEN($E$14,$F$14)*$J$9)+$J$10+$J$18</f>
        <v>221933.48456383706</v>
      </c>
      <c r="K998" s="37">
        <f ca="1">(RANDBETWEEN($E$14,$F$14)*$K$9)+$K$10+$K$18</f>
        <v>260393.25392346107</v>
      </c>
      <c r="L998" s="37">
        <f ca="1">(RANDBETWEEN($E$14,$F$14)*$L$9)+$L$10+$L$18</f>
        <v>999716.39339203853</v>
      </c>
      <c r="M998" s="37">
        <f ca="1">(RANDBETWEEN($E$14,$F$14)*$M$9)+$M$10+$M$18</f>
        <v>1043245.7659826493</v>
      </c>
      <c r="N998" s="37">
        <f t="shared" ref="N998" ca="1" si="964">NPV($E$23+$F$23,H998:M998)+$H$4</f>
        <v>1563369.2686726474</v>
      </c>
    </row>
    <row r="999" spans="4:17" x14ac:dyDescent="0.25">
      <c r="D999" s="33"/>
      <c r="E999" s="33">
        <v>969</v>
      </c>
      <c r="F999" s="37"/>
      <c r="G999" s="37"/>
      <c r="H999" s="37">
        <f t="shared" si="761"/>
        <v>868800</v>
      </c>
      <c r="I999" s="37">
        <f ca="1">(RANDBETWEEN($E$14,$F$14)*$I$9)+$I$10+$I$18</f>
        <v>-369472.96408399101</v>
      </c>
      <c r="J999" s="37">
        <f ca="1">(RANDBETWEEN($E$14,$F$14)*$J$9)+$J$10+$J$18</f>
        <v>-9238.8910066427197</v>
      </c>
      <c r="K999" s="37">
        <f ca="1">(RANDBETWEEN($E$14,$F$14)*$K$9)+$K$10+$K$18</f>
        <v>24363.532183028292</v>
      </c>
      <c r="L999" s="37">
        <f ca="1">(RANDBETWEEN($E$14,$F$14)*$L$9)+$L$10+$L$18</f>
        <v>999716.39339203853</v>
      </c>
      <c r="M999" s="37">
        <f ca="1">(RANDBETWEEN($E$14,$F$14)*$M$9)+$M$10+$M$18</f>
        <v>1424944.0925515993</v>
      </c>
      <c r="N999" s="37">
        <f t="shared" ref="N999" ca="1" si="965">NPV($E$23+$F$23,H999:M999)+$H$4</f>
        <v>1291369.9127910445</v>
      </c>
    </row>
    <row r="1000" spans="4:17" x14ac:dyDescent="0.25">
      <c r="D1000" s="33"/>
      <c r="E1000" s="33">
        <v>970</v>
      </c>
      <c r="F1000" s="37"/>
      <c r="G1000" s="37"/>
      <c r="H1000" s="37">
        <f t="shared" si="761"/>
        <v>868800</v>
      </c>
      <c r="I1000" s="37">
        <f ca="1">(RANDBETWEEN($E$14,$F$14)*$I$9)+$I$10+$I$18</f>
        <v>-369472.96408399101</v>
      </c>
      <c r="J1000" s="37">
        <f ca="1">(RANDBETWEEN($E$14,$F$14)*$J$9)+$J$10+$J$18</f>
        <v>221933.48456383706</v>
      </c>
      <c r="K1000" s="37">
        <f ca="1">(RANDBETWEEN($E$14,$F$14)*$K$9)+$K$10+$K$18</f>
        <v>24363.532183028292</v>
      </c>
      <c r="L1000" s="37">
        <f ca="1">(RANDBETWEEN($E$14,$F$14)*$L$9)+$L$10+$L$18</f>
        <v>999716.39339203853</v>
      </c>
      <c r="M1000" s="37">
        <f ca="1">(RANDBETWEEN($E$14,$F$14)*$M$9)+$M$10+$M$18</f>
        <v>1043245.7659826493</v>
      </c>
      <c r="N1000" s="37">
        <f t="shared" ref="N1000" ca="1" si="966">NPV($E$23+$F$23,H1000:M1000)+$H$4</f>
        <v>1206236.1343944785</v>
      </c>
    </row>
    <row r="1001" spans="4:17" x14ac:dyDescent="0.25">
      <c r="D1001" s="33"/>
      <c r="E1001" s="33">
        <v>971</v>
      </c>
      <c r="F1001" s="37"/>
      <c r="G1001" s="37"/>
      <c r="H1001" s="37">
        <f t="shared" si="761"/>
        <v>868800</v>
      </c>
      <c r="I1001" s="37">
        <f ca="1">(RANDBETWEEN($E$14,$F$14)*$I$9)+$I$10+$I$18</f>
        <v>-369472.96408399101</v>
      </c>
      <c r="J1001" s="37">
        <f ca="1">(RANDBETWEEN($E$14,$F$14)*$J$9)+$J$10+$J$18</f>
        <v>-9238.8910066427197</v>
      </c>
      <c r="K1001" s="37">
        <f ca="1">(RANDBETWEEN($E$14,$F$14)*$K$9)+$K$10+$K$18</f>
        <v>24363.532183028292</v>
      </c>
      <c r="L1001" s="37">
        <f ca="1">(RANDBETWEEN($E$14,$F$14)*$L$9)+$L$10+$L$18</f>
        <v>999716.39339203853</v>
      </c>
      <c r="M1001" s="37">
        <f ca="1">(RANDBETWEEN($E$14,$F$14)*$M$9)+$M$10+$M$18</f>
        <v>1424944.0925515993</v>
      </c>
      <c r="N1001" s="37">
        <f t="shared" ref="N1001" ca="1" si="967">NPV($E$23+$F$23,H1001:M1001)+$H$4</f>
        <v>1291369.9127910445</v>
      </c>
    </row>
    <row r="1002" spans="4:17" x14ac:dyDescent="0.25">
      <c r="D1002" s="33"/>
      <c r="E1002" s="33">
        <v>972</v>
      </c>
      <c r="F1002" s="37"/>
      <c r="G1002" s="37"/>
      <c r="H1002" s="37">
        <f t="shared" si="761"/>
        <v>868800</v>
      </c>
      <c r="I1002" s="37">
        <f ca="1">(RANDBETWEEN($E$14,$F$14)*$I$9)+$I$10+$I$18</f>
        <v>-369472.96408399101</v>
      </c>
      <c r="J1002" s="37">
        <f ca="1">(RANDBETWEEN($E$14,$F$14)*$J$9)+$J$10+$J$18</f>
        <v>221933.48456383706</v>
      </c>
      <c r="K1002" s="37">
        <f ca="1">(RANDBETWEEN($E$14,$F$14)*$K$9)+$K$10+$K$18</f>
        <v>260393.25392346107</v>
      </c>
      <c r="L1002" s="37">
        <f ca="1">(RANDBETWEEN($E$14,$F$14)*$L$9)+$L$10+$L$18</f>
        <v>671221.40421803342</v>
      </c>
      <c r="M1002" s="37">
        <f ca="1">(RANDBETWEEN($E$14,$F$14)*$M$9)+$M$10+$M$18</f>
        <v>1043245.7659826493</v>
      </c>
      <c r="N1002" s="37">
        <f t="shared" ref="N1002" ca="1" si="968">NPV($E$23+$F$23,H1002:M1002)+$H$4</f>
        <v>1143033.9510231656</v>
      </c>
    </row>
    <row r="1003" spans="4:17" x14ac:dyDescent="0.25">
      <c r="D1003" s="33"/>
      <c r="E1003" s="33">
        <v>973</v>
      </c>
      <c r="F1003" s="37"/>
      <c r="G1003" s="37"/>
      <c r="H1003" s="37">
        <f t="shared" si="761"/>
        <v>868800</v>
      </c>
      <c r="I1003" s="37">
        <f ca="1">(RANDBETWEEN($E$14,$F$14)*$I$9)+$I$10+$I$18</f>
        <v>-369472.96408399101</v>
      </c>
      <c r="J1003" s="37">
        <f ca="1">(RANDBETWEEN($E$14,$F$14)*$J$9)+$J$10+$J$18</f>
        <v>221933.48456383706</v>
      </c>
      <c r="K1003" s="37">
        <f ca="1">(RANDBETWEEN($E$14,$F$14)*$K$9)+$K$10+$K$18</f>
        <v>260393.25392346107</v>
      </c>
      <c r="L1003" s="37">
        <f ca="1">(RANDBETWEEN($E$14,$F$14)*$L$9)+$L$10+$L$18</f>
        <v>671221.40421803342</v>
      </c>
      <c r="M1003" s="37">
        <f ca="1">(RANDBETWEEN($E$14,$F$14)*$M$9)+$M$10+$M$18</f>
        <v>1424944.0925515993</v>
      </c>
      <c r="N1003" s="37">
        <f t="shared" ref="N1003" ca="1" si="969">NPV($E$23+$F$23,H1003:M1003)+$H$4</f>
        <v>1427863.1191793513</v>
      </c>
    </row>
    <row r="1004" spans="4:17" x14ac:dyDescent="0.25">
      <c r="D1004" s="33"/>
      <c r="E1004" s="33">
        <v>974</v>
      </c>
      <c r="F1004" s="37"/>
      <c r="G1004" s="37"/>
      <c r="H1004" s="37">
        <f t="shared" si="761"/>
        <v>868800</v>
      </c>
      <c r="I1004" s="37">
        <f ca="1">(RANDBETWEEN($E$14,$F$14)*$I$9)+$I$10+$I$18</f>
        <v>-189819.59895313275</v>
      </c>
      <c r="J1004" s="37">
        <f ca="1">(RANDBETWEEN($E$14,$F$14)*$J$9)+$J$10+$J$18</f>
        <v>221933.48456383706</v>
      </c>
      <c r="K1004" s="37">
        <f ca="1">(RANDBETWEEN($E$14,$F$14)*$K$9)+$K$10+$K$18</f>
        <v>24363.532183028292</v>
      </c>
      <c r="L1004" s="37">
        <f ca="1">(RANDBETWEEN($E$14,$F$14)*$L$9)+$L$10+$L$18</f>
        <v>999716.39339203853</v>
      </c>
      <c r="M1004" s="37">
        <f ca="1">(RANDBETWEEN($E$14,$F$14)*$M$9)+$M$10+$M$18</f>
        <v>1424944.0925515993</v>
      </c>
      <c r="N1004" s="37">
        <f t="shared" ref="N1004" ca="1" si="970">NPV($E$23+$F$23,H1004:M1004)+$H$4</f>
        <v>1654016.20062854</v>
      </c>
    </row>
    <row r="1005" spans="4:17" x14ac:dyDescent="0.25">
      <c r="D1005" s="33"/>
      <c r="E1005" s="33">
        <v>975</v>
      </c>
      <c r="F1005" s="37"/>
      <c r="G1005" s="37"/>
      <c r="H1005" s="37">
        <f t="shared" si="761"/>
        <v>868800</v>
      </c>
      <c r="I1005" s="37">
        <f ca="1">(RANDBETWEEN($E$14,$F$14)*$I$9)+$I$10+$I$18</f>
        <v>-369472.96408399101</v>
      </c>
      <c r="J1005" s="37">
        <f ca="1">(RANDBETWEEN($E$14,$F$14)*$J$9)+$J$10+$J$18</f>
        <v>221933.48456383706</v>
      </c>
      <c r="K1005" s="37">
        <f ca="1">(RANDBETWEEN($E$14,$F$14)*$K$9)+$K$10+$K$18</f>
        <v>260393.25392346107</v>
      </c>
      <c r="L1005" s="37">
        <f ca="1">(RANDBETWEEN($E$14,$F$14)*$L$9)+$L$10+$L$18</f>
        <v>999716.39339203853</v>
      </c>
      <c r="M1005" s="37">
        <f ca="1">(RANDBETWEEN($E$14,$F$14)*$M$9)+$M$10+$M$18</f>
        <v>1043245.7659826493</v>
      </c>
      <c r="N1005" s="37">
        <f t="shared" ref="N1005" ca="1" si="971">NPV($E$23+$F$23,H1005:M1005)+$H$4</f>
        <v>1400418.3705947716</v>
      </c>
    </row>
    <row r="1006" spans="4:17" x14ac:dyDescent="0.25">
      <c r="D1006" s="33"/>
      <c r="E1006" s="33">
        <v>976</v>
      </c>
      <c r="F1006" s="37"/>
      <c r="G1006" s="37"/>
      <c r="H1006" s="37">
        <f t="shared" si="761"/>
        <v>868800</v>
      </c>
      <c r="I1006" s="37">
        <f ca="1">(RANDBETWEEN($E$14,$F$14)*$I$9)+$I$10+$I$18</f>
        <v>-369472.96408399101</v>
      </c>
      <c r="J1006" s="37">
        <f ca="1">(RANDBETWEEN($E$14,$F$14)*$J$9)+$J$10+$J$18</f>
        <v>-9238.8910066427197</v>
      </c>
      <c r="K1006" s="37">
        <f ca="1">(RANDBETWEEN($E$14,$F$14)*$K$9)+$K$10+$K$18</f>
        <v>24363.532183028292</v>
      </c>
      <c r="L1006" s="37">
        <f ca="1">(RANDBETWEEN($E$14,$F$14)*$L$9)+$L$10+$L$18</f>
        <v>671221.40421803342</v>
      </c>
      <c r="M1006" s="37">
        <f ca="1">(RANDBETWEEN($E$14,$F$14)*$M$9)+$M$10+$M$18</f>
        <v>1043245.7659826493</v>
      </c>
      <c r="N1006" s="37">
        <f t="shared" ref="N1006" ca="1" si="972">NPV($E$23+$F$23,H1006:M1006)+$H$4</f>
        <v>749156.32506325236</v>
      </c>
    </row>
    <row r="1007" spans="4:17" x14ac:dyDescent="0.25">
      <c r="D1007" s="33"/>
      <c r="E1007" s="33">
        <v>977</v>
      </c>
      <c r="F1007" s="37"/>
      <c r="G1007" s="37"/>
      <c r="H1007" s="37">
        <f t="shared" si="761"/>
        <v>868800</v>
      </c>
      <c r="I1007" s="37">
        <f ca="1">(RANDBETWEEN($E$14,$F$14)*$I$9)+$I$10+$I$18</f>
        <v>-369472.96408399101</v>
      </c>
      <c r="J1007" s="37">
        <f ca="1">(RANDBETWEEN($E$14,$F$14)*$J$9)+$J$10+$J$18</f>
        <v>221933.48456383706</v>
      </c>
      <c r="K1007" s="37">
        <f ca="1">(RANDBETWEEN($E$14,$F$14)*$K$9)+$K$10+$K$18</f>
        <v>260393.25392346107</v>
      </c>
      <c r="L1007" s="37">
        <f ca="1">(RANDBETWEEN($E$14,$F$14)*$L$9)+$L$10+$L$18</f>
        <v>671221.40421803342</v>
      </c>
      <c r="M1007" s="37">
        <f ca="1">(RANDBETWEEN($E$14,$F$14)*$M$9)+$M$10+$M$18</f>
        <v>1424944.0925515993</v>
      </c>
      <c r="N1007" s="37">
        <f t="shared" ref="N1007" ca="1" si="973">NPV($E$23+$F$23,H1007:M1007)+$H$4</f>
        <v>1427863.1191793513</v>
      </c>
    </row>
    <row r="1008" spans="4:17" x14ac:dyDescent="0.25">
      <c r="D1008" s="33"/>
      <c r="E1008" s="33">
        <v>978</v>
      </c>
      <c r="F1008" s="37"/>
      <c r="G1008" s="37"/>
      <c r="H1008" s="37">
        <f t="shared" si="761"/>
        <v>868800</v>
      </c>
      <c r="I1008" s="37">
        <f ca="1">(RANDBETWEEN($E$14,$F$14)*$I$9)+$I$10+$I$18</f>
        <v>-369472.96408399101</v>
      </c>
      <c r="J1008" s="37">
        <f ca="1">(RANDBETWEEN($E$14,$F$14)*$J$9)+$J$10+$J$18</f>
        <v>221933.48456383706</v>
      </c>
      <c r="K1008" s="37">
        <f ca="1">(RANDBETWEEN($E$14,$F$14)*$K$9)+$K$10+$K$18</f>
        <v>24363.532183028292</v>
      </c>
      <c r="L1008" s="37">
        <f ca="1">(RANDBETWEEN($E$14,$F$14)*$L$9)+$L$10+$L$18</f>
        <v>999716.39339203853</v>
      </c>
      <c r="M1008" s="37">
        <f ca="1">(RANDBETWEEN($E$14,$F$14)*$M$9)+$M$10+$M$18</f>
        <v>1424944.0925515993</v>
      </c>
      <c r="N1008" s="37">
        <f t="shared" ref="N1008" ca="1" si="974">NPV($E$23+$F$23,H1008:M1008)+$H$4</f>
        <v>1491065.3025506642</v>
      </c>
      <c r="Q1008" s="37"/>
    </row>
    <row r="1009" spans="4:17" x14ac:dyDescent="0.25">
      <c r="D1009" s="33"/>
      <c r="E1009" s="33">
        <v>979</v>
      </c>
      <c r="F1009" s="37"/>
      <c r="G1009" s="37"/>
      <c r="H1009" s="37">
        <f t="shared" si="761"/>
        <v>868800</v>
      </c>
      <c r="I1009" s="37">
        <f ca="1">(RANDBETWEEN($E$14,$F$14)*$I$9)+$I$10+$I$18</f>
        <v>-189819.59895313275</v>
      </c>
      <c r="J1009" s="37">
        <f ca="1">(RANDBETWEEN($E$14,$F$14)*$J$9)+$J$10+$J$18</f>
        <v>221933.48456383706</v>
      </c>
      <c r="K1009" s="37">
        <f ca="1">(RANDBETWEEN($E$14,$F$14)*$K$9)+$K$10+$K$18</f>
        <v>260393.25392346107</v>
      </c>
      <c r="L1009" s="37">
        <f ca="1">(RANDBETWEEN($E$14,$F$14)*$L$9)+$L$10+$L$18</f>
        <v>999716.39339203853</v>
      </c>
      <c r="M1009" s="37">
        <f ca="1">(RANDBETWEEN($E$14,$F$14)*$M$9)+$M$10+$M$18</f>
        <v>1043245.7659826493</v>
      </c>
      <c r="N1009" s="37">
        <f t="shared" ref="N1009" ca="1" si="975">NPV($E$23+$F$23,H1009:M1009)+$H$4</f>
        <v>1563369.2686726474</v>
      </c>
    </row>
    <row r="1010" spans="4:17" x14ac:dyDescent="0.25">
      <c r="D1010" s="33"/>
      <c r="E1010" s="33">
        <v>980</v>
      </c>
      <c r="F1010" s="37"/>
      <c r="G1010" s="37"/>
      <c r="H1010" s="37">
        <f t="shared" si="761"/>
        <v>868800</v>
      </c>
      <c r="I1010" s="37">
        <f ca="1">(RANDBETWEEN($E$14,$F$14)*$I$9)+$I$10+$I$18</f>
        <v>-369472.96408399101</v>
      </c>
      <c r="J1010" s="37">
        <f ca="1">(RANDBETWEEN($E$14,$F$14)*$J$9)+$J$10+$J$18</f>
        <v>-9238.8910066427197</v>
      </c>
      <c r="K1010" s="37">
        <f ca="1">(RANDBETWEEN($E$14,$F$14)*$K$9)+$K$10+$K$18</f>
        <v>260393.25392346107</v>
      </c>
      <c r="L1010" s="37">
        <f ca="1">(RANDBETWEEN($E$14,$F$14)*$L$9)+$L$10+$L$18</f>
        <v>999716.39339203853</v>
      </c>
      <c r="M1010" s="37">
        <f ca="1">(RANDBETWEEN($E$14,$F$14)*$M$9)+$M$10+$M$18</f>
        <v>1424944.0925515993</v>
      </c>
      <c r="N1010" s="37">
        <f t="shared" ref="N1010" ca="1" si="976">NPV($E$23+$F$23,H1010:M1010)+$H$4</f>
        <v>1485552.1489913375</v>
      </c>
    </row>
    <row r="1011" spans="4:17" x14ac:dyDescent="0.25">
      <c r="D1011" s="33"/>
      <c r="E1011" s="33">
        <v>981</v>
      </c>
      <c r="F1011" s="37"/>
      <c r="G1011" s="37"/>
      <c r="H1011" s="37">
        <f t="shared" si="761"/>
        <v>868800</v>
      </c>
      <c r="I1011" s="37">
        <f ca="1">(RANDBETWEEN($E$14,$F$14)*$I$9)+$I$10+$I$18</f>
        <v>-189819.59895313275</v>
      </c>
      <c r="J1011" s="37">
        <f ca="1">(RANDBETWEEN($E$14,$F$14)*$J$9)+$J$10+$J$18</f>
        <v>-9238.8910066427197</v>
      </c>
      <c r="K1011" s="37">
        <f ca="1">(RANDBETWEEN($E$14,$F$14)*$K$9)+$K$10+$K$18</f>
        <v>260393.25392346107</v>
      </c>
      <c r="L1011" s="37">
        <f ca="1">(RANDBETWEEN($E$14,$F$14)*$L$9)+$L$10+$L$18</f>
        <v>999716.39339203853</v>
      </c>
      <c r="M1011" s="37">
        <f ca="1">(RANDBETWEEN($E$14,$F$14)*$M$9)+$M$10+$M$18</f>
        <v>1043245.7659826493</v>
      </c>
      <c r="N1011" s="37">
        <f t="shared" ref="N1011" ca="1" si="977">NPV($E$23+$F$23,H1011:M1011)+$H$4</f>
        <v>1363673.8789130282</v>
      </c>
    </row>
    <row r="1012" spans="4:17" x14ac:dyDescent="0.25">
      <c r="D1012" s="33"/>
      <c r="E1012" s="33">
        <v>982</v>
      </c>
      <c r="F1012" s="37"/>
      <c r="G1012" s="37"/>
      <c r="H1012" s="37">
        <f t="shared" si="761"/>
        <v>868800</v>
      </c>
      <c r="I1012" s="37">
        <f ca="1">(RANDBETWEEN($E$14,$F$14)*$I$9)+$I$10+$I$18</f>
        <v>-189819.59895313275</v>
      </c>
      <c r="J1012" s="37">
        <f ca="1">(RANDBETWEEN($E$14,$F$14)*$J$9)+$J$10+$J$18</f>
        <v>221933.48456383706</v>
      </c>
      <c r="K1012" s="37">
        <f ca="1">(RANDBETWEEN($E$14,$F$14)*$K$9)+$K$10+$K$18</f>
        <v>24363.532183028292</v>
      </c>
      <c r="L1012" s="37">
        <f ca="1">(RANDBETWEEN($E$14,$F$14)*$L$9)+$L$10+$L$18</f>
        <v>999716.39339203853</v>
      </c>
      <c r="M1012" s="37">
        <f ca="1">(RANDBETWEEN($E$14,$F$14)*$M$9)+$M$10+$M$18</f>
        <v>1043245.7659826493</v>
      </c>
      <c r="N1012" s="37">
        <f t="shared" ref="N1012" ca="1" si="978">NPV($E$23+$F$23,H1012:M1012)+$H$4</f>
        <v>1369187.0324723539</v>
      </c>
    </row>
    <row r="1013" spans="4:17" x14ac:dyDescent="0.25">
      <c r="D1013" s="33"/>
      <c r="E1013" s="33">
        <v>983</v>
      </c>
      <c r="F1013" s="37"/>
      <c r="G1013" s="37"/>
      <c r="H1013" s="37">
        <f t="shared" si="761"/>
        <v>868800</v>
      </c>
      <c r="I1013" s="37">
        <f ca="1">(RANDBETWEEN($E$14,$F$14)*$I$9)+$I$10+$I$18</f>
        <v>-189819.59895313275</v>
      </c>
      <c r="J1013" s="37">
        <f ca="1">(RANDBETWEEN($E$14,$F$14)*$J$9)+$J$10+$J$18</f>
        <v>-9238.8910066427197</v>
      </c>
      <c r="K1013" s="37">
        <f ca="1">(RANDBETWEEN($E$14,$F$14)*$K$9)+$K$10+$K$18</f>
        <v>24363.532183028292</v>
      </c>
      <c r="L1013" s="37">
        <f ca="1">(RANDBETWEEN($E$14,$F$14)*$L$9)+$L$10+$L$18</f>
        <v>671221.40421803342</v>
      </c>
      <c r="M1013" s="37">
        <f ca="1">(RANDBETWEEN($E$14,$F$14)*$M$9)+$M$10+$M$18</f>
        <v>1043245.7659826493</v>
      </c>
      <c r="N1013" s="37">
        <f t="shared" ref="N1013" ca="1" si="979">NPV($E$23+$F$23,H1013:M1013)+$H$4</f>
        <v>912107.22314112843</v>
      </c>
    </row>
    <row r="1014" spans="4:17" x14ac:dyDescent="0.25">
      <c r="D1014" s="33"/>
      <c r="E1014" s="33">
        <v>984</v>
      </c>
      <c r="F1014" s="37"/>
      <c r="G1014" s="37"/>
      <c r="H1014" s="37">
        <f t="shared" si="761"/>
        <v>868800</v>
      </c>
      <c r="I1014" s="37">
        <f ca="1">(RANDBETWEEN($E$14,$F$14)*$I$9)+$I$10+$I$18</f>
        <v>-189819.59895313275</v>
      </c>
      <c r="J1014" s="37">
        <f ca="1">(RANDBETWEEN($E$14,$F$14)*$J$9)+$J$10+$J$18</f>
        <v>-9238.8910066427197</v>
      </c>
      <c r="K1014" s="37">
        <f ca="1">(RANDBETWEEN($E$14,$F$14)*$K$9)+$K$10+$K$18</f>
        <v>24363.532183028292</v>
      </c>
      <c r="L1014" s="37">
        <f ca="1">(RANDBETWEEN($E$14,$F$14)*$L$9)+$L$10+$L$18</f>
        <v>999716.39339203853</v>
      </c>
      <c r="M1014" s="37">
        <f ca="1">(RANDBETWEEN($E$14,$F$14)*$M$9)+$M$10+$M$18</f>
        <v>1424944.0925515993</v>
      </c>
      <c r="N1014" s="37">
        <f t="shared" ref="N1014" ca="1" si="980">NPV($E$23+$F$23,H1014:M1014)+$H$4</f>
        <v>1454320.8108689203</v>
      </c>
    </row>
    <row r="1015" spans="4:17" x14ac:dyDescent="0.25">
      <c r="D1015" s="33"/>
      <c r="E1015" s="33">
        <v>985</v>
      </c>
      <c r="F1015" s="37"/>
      <c r="G1015" s="37"/>
      <c r="H1015" s="37">
        <f t="shared" si="761"/>
        <v>868800</v>
      </c>
      <c r="I1015" s="37">
        <f ca="1">(RANDBETWEEN($E$14,$F$14)*$I$9)+$I$10+$I$18</f>
        <v>-189819.59895313275</v>
      </c>
      <c r="J1015" s="37">
        <f ca="1">(RANDBETWEEN($E$14,$F$14)*$J$9)+$J$10+$J$18</f>
        <v>-9238.8910066427197</v>
      </c>
      <c r="K1015" s="37">
        <f ca="1">(RANDBETWEEN($E$14,$F$14)*$K$9)+$K$10+$K$18</f>
        <v>24363.532183028292</v>
      </c>
      <c r="L1015" s="37">
        <f ca="1">(RANDBETWEEN($E$14,$F$14)*$L$9)+$L$10+$L$18</f>
        <v>999716.39339203853</v>
      </c>
      <c r="M1015" s="37">
        <f ca="1">(RANDBETWEEN($E$14,$F$14)*$M$9)+$M$10+$M$18</f>
        <v>1043245.7659826493</v>
      </c>
      <c r="N1015" s="37">
        <f t="shared" ref="N1015" ca="1" si="981">NPV($E$23+$F$23,H1015:M1015)+$H$4</f>
        <v>1169491.6427127346</v>
      </c>
    </row>
    <row r="1016" spans="4:17" x14ac:dyDescent="0.25">
      <c r="D1016" s="33"/>
      <c r="E1016" s="33">
        <v>986</v>
      </c>
      <c r="F1016" s="37"/>
      <c r="G1016" s="37"/>
      <c r="H1016" s="37">
        <f t="shared" si="761"/>
        <v>868800</v>
      </c>
      <c r="I1016" s="37">
        <f ca="1">(RANDBETWEEN($E$14,$F$14)*$I$9)+$I$10+$I$18</f>
        <v>-369472.96408399101</v>
      </c>
      <c r="J1016" s="37">
        <f ca="1">(RANDBETWEEN($E$14,$F$14)*$J$9)+$J$10+$J$18</f>
        <v>221933.48456383706</v>
      </c>
      <c r="K1016" s="37">
        <f ca="1">(RANDBETWEEN($E$14,$F$14)*$K$9)+$K$10+$K$18</f>
        <v>24363.532183028292</v>
      </c>
      <c r="L1016" s="37">
        <f ca="1">(RANDBETWEEN($E$14,$F$14)*$L$9)+$L$10+$L$18</f>
        <v>999716.39339203853</v>
      </c>
      <c r="M1016" s="37">
        <f ca="1">(RANDBETWEEN($E$14,$F$14)*$M$9)+$M$10+$M$18</f>
        <v>1424944.0925515993</v>
      </c>
      <c r="N1016" s="37">
        <f t="shared" ref="N1016" ca="1" si="982">NPV($E$23+$F$23,H1016:M1016)+$H$4</f>
        <v>1491065.3025506642</v>
      </c>
    </row>
    <row r="1017" spans="4:17" x14ac:dyDescent="0.25">
      <c r="D1017" s="33"/>
      <c r="E1017" s="33">
        <v>987</v>
      </c>
      <c r="F1017" s="37"/>
      <c r="G1017" s="37"/>
      <c r="H1017" s="37">
        <f t="shared" si="761"/>
        <v>868800</v>
      </c>
      <c r="I1017" s="37">
        <f ca="1">(RANDBETWEEN($E$14,$F$14)*$I$9)+$I$10+$I$18</f>
        <v>-369472.96408399101</v>
      </c>
      <c r="J1017" s="37">
        <f ca="1">(RANDBETWEEN($E$14,$F$14)*$J$9)+$J$10+$J$18</f>
        <v>221933.48456383706</v>
      </c>
      <c r="K1017" s="37">
        <f ca="1">(RANDBETWEEN($E$14,$F$14)*$K$9)+$K$10+$K$18</f>
        <v>260393.25392346107</v>
      </c>
      <c r="L1017" s="37">
        <f ca="1">(RANDBETWEEN($E$14,$F$14)*$L$9)+$L$10+$L$18</f>
        <v>999716.39339203853</v>
      </c>
      <c r="M1017" s="37">
        <f ca="1">(RANDBETWEEN($E$14,$F$14)*$M$9)+$M$10+$M$18</f>
        <v>1424944.0925515993</v>
      </c>
      <c r="N1017" s="37">
        <f t="shared" ref="N1017" ca="1" si="983">NPV($E$23+$F$23,H1017:M1017)+$H$4</f>
        <v>1685247.5387509572</v>
      </c>
      <c r="Q1017" s="37"/>
    </row>
    <row r="1018" spans="4:17" x14ac:dyDescent="0.25">
      <c r="D1018" s="33"/>
      <c r="E1018" s="33">
        <v>988</v>
      </c>
      <c r="F1018" s="37"/>
      <c r="G1018" s="37"/>
      <c r="H1018" s="37">
        <f t="shared" si="761"/>
        <v>868800</v>
      </c>
      <c r="I1018" s="37">
        <f ca="1">(RANDBETWEEN($E$14,$F$14)*$I$9)+$I$10+$I$18</f>
        <v>-189819.59895313275</v>
      </c>
      <c r="J1018" s="37">
        <f ca="1">(RANDBETWEEN($E$14,$F$14)*$J$9)+$J$10+$J$18</f>
        <v>-9238.8910066427197</v>
      </c>
      <c r="K1018" s="37">
        <f ca="1">(RANDBETWEEN($E$14,$F$14)*$K$9)+$K$10+$K$18</f>
        <v>24363.532183028292</v>
      </c>
      <c r="L1018" s="37">
        <f ca="1">(RANDBETWEEN($E$14,$F$14)*$L$9)+$L$10+$L$18</f>
        <v>999716.39339203853</v>
      </c>
      <c r="M1018" s="37">
        <f ca="1">(RANDBETWEEN($E$14,$F$14)*$M$9)+$M$10+$M$18</f>
        <v>1043245.7659826493</v>
      </c>
      <c r="N1018" s="37">
        <f t="shared" ref="N1018" ca="1" si="984">NPV($E$23+$F$23,H1018:M1018)+$H$4</f>
        <v>1169491.6427127346</v>
      </c>
    </row>
    <row r="1019" spans="4:17" x14ac:dyDescent="0.25">
      <c r="D1019" s="33"/>
      <c r="E1019" s="33">
        <v>989</v>
      </c>
      <c r="F1019" s="37"/>
      <c r="G1019" s="37"/>
      <c r="H1019" s="37">
        <f t="shared" si="761"/>
        <v>868800</v>
      </c>
      <c r="I1019" s="37">
        <f ca="1">(RANDBETWEEN($E$14,$F$14)*$I$9)+$I$10+$I$18</f>
        <v>-369472.96408399101</v>
      </c>
      <c r="J1019" s="37">
        <f ca="1">(RANDBETWEEN($E$14,$F$14)*$J$9)+$J$10+$J$18</f>
        <v>221933.48456383706</v>
      </c>
      <c r="K1019" s="37">
        <f ca="1">(RANDBETWEEN($E$14,$F$14)*$K$9)+$K$10+$K$18</f>
        <v>260393.25392346107</v>
      </c>
      <c r="L1019" s="37">
        <f ca="1">(RANDBETWEEN($E$14,$F$14)*$L$9)+$L$10+$L$18</f>
        <v>671221.40421803342</v>
      </c>
      <c r="M1019" s="37">
        <f ca="1">(RANDBETWEEN($E$14,$F$14)*$M$9)+$M$10+$M$18</f>
        <v>1043245.7659826493</v>
      </c>
      <c r="N1019" s="37">
        <f t="shared" ref="N1019" ca="1" si="985">NPV($E$23+$F$23,H1019:M1019)+$H$4</f>
        <v>1143033.9510231656</v>
      </c>
    </row>
    <row r="1020" spans="4:17" x14ac:dyDescent="0.25">
      <c r="D1020" s="33"/>
      <c r="E1020" s="33">
        <v>990</v>
      </c>
      <c r="F1020" s="37"/>
      <c r="G1020" s="37"/>
      <c r="H1020" s="37">
        <f t="shared" si="761"/>
        <v>868800</v>
      </c>
      <c r="I1020" s="37">
        <f ca="1">(RANDBETWEEN($E$14,$F$14)*$I$9)+$I$10+$I$18</f>
        <v>-189819.59895313275</v>
      </c>
      <c r="J1020" s="37">
        <f ca="1">(RANDBETWEEN($E$14,$F$14)*$J$9)+$J$10+$J$18</f>
        <v>221933.48456383706</v>
      </c>
      <c r="K1020" s="37">
        <f ca="1">(RANDBETWEEN($E$14,$F$14)*$K$9)+$K$10+$K$18</f>
        <v>24363.532183028292</v>
      </c>
      <c r="L1020" s="37">
        <f ca="1">(RANDBETWEEN($E$14,$F$14)*$L$9)+$L$10+$L$18</f>
        <v>999716.39339203853</v>
      </c>
      <c r="M1020" s="37">
        <f ca="1">(RANDBETWEEN($E$14,$F$14)*$M$9)+$M$10+$M$18</f>
        <v>1424944.0925515993</v>
      </c>
      <c r="N1020" s="37">
        <f t="shared" ref="N1020" ca="1" si="986">NPV($E$23+$F$23,H1020:M1020)+$H$4</f>
        <v>1654016.20062854</v>
      </c>
    </row>
    <row r="1021" spans="4:17" x14ac:dyDescent="0.25">
      <c r="D1021" s="33"/>
      <c r="E1021" s="33">
        <v>991</v>
      </c>
      <c r="F1021" s="37"/>
      <c r="G1021" s="37"/>
      <c r="H1021" s="37">
        <f t="shared" si="761"/>
        <v>868800</v>
      </c>
      <c r="I1021" s="37">
        <f ca="1">(RANDBETWEEN($E$14,$F$14)*$I$9)+$I$10+$I$18</f>
        <v>-189819.59895313275</v>
      </c>
      <c r="J1021" s="37">
        <f ca="1">(RANDBETWEEN($E$14,$F$14)*$J$9)+$J$10+$J$18</f>
        <v>221933.48456383706</v>
      </c>
      <c r="K1021" s="37">
        <f ca="1">(RANDBETWEEN($E$14,$F$14)*$K$9)+$K$10+$K$18</f>
        <v>24363.532183028292</v>
      </c>
      <c r="L1021" s="37">
        <f ca="1">(RANDBETWEEN($E$14,$F$14)*$L$9)+$L$10+$L$18</f>
        <v>999716.39339203853</v>
      </c>
      <c r="M1021" s="37">
        <f ca="1">(RANDBETWEEN($E$14,$F$14)*$M$9)+$M$10+$M$18</f>
        <v>1424944.0925515993</v>
      </c>
      <c r="N1021" s="37">
        <f t="shared" ref="N1021" ca="1" si="987">NPV($E$23+$F$23,H1021:M1021)+$H$4</f>
        <v>1654016.20062854</v>
      </c>
    </row>
    <row r="1022" spans="4:17" x14ac:dyDescent="0.25">
      <c r="D1022" s="33"/>
      <c r="E1022" s="33">
        <v>992</v>
      </c>
      <c r="F1022" s="37"/>
      <c r="G1022" s="37"/>
      <c r="H1022" s="37">
        <f t="shared" si="761"/>
        <v>868800</v>
      </c>
      <c r="I1022" s="37">
        <f ca="1">(RANDBETWEEN($E$14,$F$14)*$I$9)+$I$10+$I$18</f>
        <v>-189819.59895313275</v>
      </c>
      <c r="J1022" s="37">
        <f ca="1">(RANDBETWEEN($E$14,$F$14)*$J$9)+$J$10+$J$18</f>
        <v>221933.48456383706</v>
      </c>
      <c r="K1022" s="37">
        <f ca="1">(RANDBETWEEN($E$14,$F$14)*$K$9)+$K$10+$K$18</f>
        <v>24363.532183028292</v>
      </c>
      <c r="L1022" s="37">
        <f ca="1">(RANDBETWEEN($E$14,$F$14)*$L$9)+$L$10+$L$18</f>
        <v>999716.39339203853</v>
      </c>
      <c r="M1022" s="37">
        <f ca="1">(RANDBETWEEN($E$14,$F$14)*$M$9)+$M$10+$M$18</f>
        <v>1424944.0925515993</v>
      </c>
      <c r="N1022" s="37">
        <f t="shared" ref="N1022" ca="1" si="988">NPV($E$23+$F$23,H1022:M1022)+$H$4</f>
        <v>1654016.20062854</v>
      </c>
    </row>
    <row r="1023" spans="4:17" x14ac:dyDescent="0.25">
      <c r="D1023" s="33"/>
      <c r="E1023" s="33">
        <v>993</v>
      </c>
      <c r="F1023" s="37"/>
      <c r="G1023" s="37"/>
      <c r="H1023" s="37">
        <f t="shared" si="761"/>
        <v>868800</v>
      </c>
      <c r="I1023" s="37">
        <f ca="1">(RANDBETWEEN($E$14,$F$14)*$I$9)+$I$10+$I$18</f>
        <v>-189819.59895313275</v>
      </c>
      <c r="J1023" s="37">
        <f ca="1">(RANDBETWEEN($E$14,$F$14)*$J$9)+$J$10+$J$18</f>
        <v>-9238.8910066427197</v>
      </c>
      <c r="K1023" s="37">
        <f ca="1">(RANDBETWEEN($E$14,$F$14)*$K$9)+$K$10+$K$18</f>
        <v>260393.25392346107</v>
      </c>
      <c r="L1023" s="37">
        <f ca="1">(RANDBETWEEN($E$14,$F$14)*$L$9)+$L$10+$L$18</f>
        <v>671221.40421803342</v>
      </c>
      <c r="M1023" s="37">
        <f ca="1">(RANDBETWEEN($E$14,$F$14)*$M$9)+$M$10+$M$18</f>
        <v>1043245.7659826493</v>
      </c>
      <c r="N1023" s="37">
        <f t="shared" ref="N1023" ca="1" si="989">NPV($E$23+$F$23,H1023:M1023)+$H$4</f>
        <v>1106289.4593414213</v>
      </c>
    </row>
    <row r="1024" spans="4:17" x14ac:dyDescent="0.25">
      <c r="D1024" s="33"/>
      <c r="E1024" s="33">
        <v>994</v>
      </c>
      <c r="F1024" s="37"/>
      <c r="G1024" s="37"/>
      <c r="H1024" s="37">
        <f t="shared" si="761"/>
        <v>868800</v>
      </c>
      <c r="I1024" s="37">
        <f ca="1">(RANDBETWEEN($E$14,$F$14)*$I$9)+$I$10+$I$18</f>
        <v>-369472.96408399101</v>
      </c>
      <c r="J1024" s="37">
        <f ca="1">(RANDBETWEEN($E$14,$F$14)*$J$9)+$J$10+$J$18</f>
        <v>221933.48456383706</v>
      </c>
      <c r="K1024" s="37">
        <f ca="1">(RANDBETWEEN($E$14,$F$14)*$K$9)+$K$10+$K$18</f>
        <v>260393.25392346107</v>
      </c>
      <c r="L1024" s="37">
        <f ca="1">(RANDBETWEEN($E$14,$F$14)*$L$9)+$L$10+$L$18</f>
        <v>671221.40421803342</v>
      </c>
      <c r="M1024" s="37">
        <f ca="1">(RANDBETWEEN($E$14,$F$14)*$M$9)+$M$10+$M$18</f>
        <v>1424944.0925515993</v>
      </c>
      <c r="N1024" s="37">
        <f t="shared" ref="N1024" ca="1" si="990">NPV($E$23+$F$23,H1024:M1024)+$H$4</f>
        <v>1427863.1191793513</v>
      </c>
    </row>
    <row r="1025" spans="4:17" x14ac:dyDescent="0.25">
      <c r="D1025" s="33"/>
      <c r="E1025" s="33">
        <v>995</v>
      </c>
      <c r="F1025" s="37"/>
      <c r="G1025" s="37"/>
      <c r="H1025" s="37">
        <f t="shared" si="761"/>
        <v>868800</v>
      </c>
      <c r="I1025" s="37">
        <f ca="1">(RANDBETWEEN($E$14,$F$14)*$I$9)+$I$10+$I$18</f>
        <v>-189819.59895313275</v>
      </c>
      <c r="J1025" s="37">
        <f ca="1">(RANDBETWEEN($E$14,$F$14)*$J$9)+$J$10+$J$18</f>
        <v>-9238.8910066427197</v>
      </c>
      <c r="K1025" s="37">
        <f ca="1">(RANDBETWEEN($E$14,$F$14)*$K$9)+$K$10+$K$18</f>
        <v>260393.25392346107</v>
      </c>
      <c r="L1025" s="37">
        <f ca="1">(RANDBETWEEN($E$14,$F$14)*$L$9)+$L$10+$L$18</f>
        <v>671221.40421803342</v>
      </c>
      <c r="M1025" s="37">
        <f ca="1">(RANDBETWEEN($E$14,$F$14)*$M$9)+$M$10+$M$18</f>
        <v>1043245.7659826493</v>
      </c>
      <c r="N1025" s="37">
        <f t="shared" ref="N1025" ca="1" si="991">NPV($E$23+$F$23,H1025:M1025)+$H$4</f>
        <v>1106289.4593414213</v>
      </c>
    </row>
    <row r="1026" spans="4:17" x14ac:dyDescent="0.25">
      <c r="D1026" s="33"/>
      <c r="E1026" s="33">
        <v>996</v>
      </c>
      <c r="F1026" s="37"/>
      <c r="G1026" s="37"/>
      <c r="H1026" s="37">
        <f t="shared" si="761"/>
        <v>868800</v>
      </c>
      <c r="I1026" s="37">
        <f ca="1">(RANDBETWEEN($E$14,$F$14)*$I$9)+$I$10+$I$18</f>
        <v>-369472.96408399101</v>
      </c>
      <c r="J1026" s="37">
        <f ca="1">(RANDBETWEEN($E$14,$F$14)*$J$9)+$J$10+$J$18</f>
        <v>221933.48456383706</v>
      </c>
      <c r="K1026" s="37">
        <f ca="1">(RANDBETWEEN($E$14,$F$14)*$K$9)+$K$10+$K$18</f>
        <v>260393.25392346107</v>
      </c>
      <c r="L1026" s="37">
        <f ca="1">(RANDBETWEEN($E$14,$F$14)*$L$9)+$L$10+$L$18</f>
        <v>999716.39339203853</v>
      </c>
      <c r="M1026" s="37">
        <f ca="1">(RANDBETWEEN($E$14,$F$14)*$M$9)+$M$10+$M$18</f>
        <v>1043245.7659826493</v>
      </c>
      <c r="N1026" s="37">
        <f t="shared" ref="N1026" ca="1" si="992">NPV($E$23+$F$23,H1026:M1026)+$H$4</f>
        <v>1400418.3705947716</v>
      </c>
      <c r="Q1026" s="37"/>
    </row>
    <row r="1027" spans="4:17" x14ac:dyDescent="0.25">
      <c r="D1027" s="33"/>
      <c r="E1027" s="33">
        <v>997</v>
      </c>
      <c r="F1027" s="37"/>
      <c r="G1027" s="37"/>
      <c r="H1027" s="37">
        <f t="shared" si="761"/>
        <v>868800</v>
      </c>
      <c r="I1027" s="37">
        <f ca="1">(RANDBETWEEN($E$14,$F$14)*$I$9)+$I$10+$I$18</f>
        <v>-369472.96408399101</v>
      </c>
      <c r="J1027" s="37">
        <f ca="1">(RANDBETWEEN($E$14,$F$14)*$J$9)+$J$10+$J$18</f>
        <v>-9238.8910066427197</v>
      </c>
      <c r="K1027" s="37">
        <f ca="1">(RANDBETWEEN($E$14,$F$14)*$K$9)+$K$10+$K$18</f>
        <v>24363.532183028292</v>
      </c>
      <c r="L1027" s="37">
        <f ca="1">(RANDBETWEEN($E$14,$F$14)*$L$9)+$L$10+$L$18</f>
        <v>999716.39339203853</v>
      </c>
      <c r="M1027" s="37">
        <f ca="1">(RANDBETWEEN($E$14,$F$14)*$M$9)+$M$10+$M$18</f>
        <v>1424944.0925515993</v>
      </c>
      <c r="N1027" s="37">
        <f t="shared" ref="N1027" ca="1" si="993">NPV($E$23+$F$23,H1027:M1027)+$H$4</f>
        <v>1291369.9127910445</v>
      </c>
    </row>
    <row r="1028" spans="4:17" x14ac:dyDescent="0.25">
      <c r="D1028" s="33"/>
      <c r="E1028" s="33">
        <v>998</v>
      </c>
      <c r="F1028" s="37"/>
      <c r="G1028" s="37"/>
      <c r="H1028" s="37">
        <f t="shared" si="761"/>
        <v>868800</v>
      </c>
      <c r="I1028" s="37">
        <f ca="1">(RANDBETWEEN($E$14,$F$14)*$I$9)+$I$10+$I$18</f>
        <v>-369472.96408399101</v>
      </c>
      <c r="J1028" s="37">
        <f ca="1">(RANDBETWEEN($E$14,$F$14)*$J$9)+$J$10+$J$18</f>
        <v>221933.48456383706</v>
      </c>
      <c r="K1028" s="37">
        <f ca="1">(RANDBETWEEN($E$14,$F$14)*$K$9)+$K$10+$K$18</f>
        <v>260393.25392346107</v>
      </c>
      <c r="L1028" s="37">
        <f ca="1">(RANDBETWEEN($E$14,$F$14)*$L$9)+$L$10+$L$18</f>
        <v>999716.39339203853</v>
      </c>
      <c r="M1028" s="37">
        <f ca="1">(RANDBETWEEN($E$14,$F$14)*$M$9)+$M$10+$M$18</f>
        <v>1043245.7659826493</v>
      </c>
      <c r="N1028" s="37">
        <f t="shared" ref="N1028" ca="1" si="994">NPV($E$23+$F$23,H1028:M1028)+$H$4</f>
        <v>1400418.3705947716</v>
      </c>
    </row>
    <row r="1029" spans="4:17" x14ac:dyDescent="0.25">
      <c r="D1029" s="33"/>
      <c r="E1029" s="33">
        <v>999</v>
      </c>
      <c r="F1029" s="37"/>
      <c r="G1029" s="37"/>
      <c r="H1029" s="37">
        <f t="shared" si="761"/>
        <v>868800</v>
      </c>
      <c r="I1029" s="37">
        <f ca="1">(RANDBETWEEN($E$14,$F$14)*$I$9)+$I$10+$I$18</f>
        <v>-369472.96408399101</v>
      </c>
      <c r="J1029" s="37">
        <f ca="1">(RANDBETWEEN($E$14,$F$14)*$J$9)+$J$10+$J$18</f>
        <v>221933.48456383706</v>
      </c>
      <c r="K1029" s="37">
        <f ca="1">(RANDBETWEEN($E$14,$F$14)*$K$9)+$K$10+$K$18</f>
        <v>24363.532183028292</v>
      </c>
      <c r="L1029" s="37">
        <f ca="1">(RANDBETWEEN($E$14,$F$14)*$L$9)+$L$10+$L$18</f>
        <v>671221.40421803342</v>
      </c>
      <c r="M1029" s="37">
        <f ca="1">(RANDBETWEEN($E$14,$F$14)*$M$9)+$M$10+$M$18</f>
        <v>1043245.7659826493</v>
      </c>
      <c r="N1029" s="37">
        <f t="shared" ref="N1029" ca="1" si="995">NPV($E$23+$F$23,H1029:M1029)+$H$4</f>
        <v>948851.71482287208</v>
      </c>
    </row>
    <row r="1030" spans="4:17" x14ac:dyDescent="0.25">
      <c r="D1030" s="33"/>
      <c r="E1030" s="33">
        <v>1000</v>
      </c>
      <c r="F1030" s="37"/>
      <c r="G1030" s="37"/>
      <c r="H1030" s="37">
        <f t="shared" si="761"/>
        <v>868800</v>
      </c>
      <c r="I1030" s="37">
        <f ca="1">(RANDBETWEEN($E$14,$F$14)*$I$9)+$I$10+$I$18</f>
        <v>-369472.96408399101</v>
      </c>
      <c r="J1030" s="37">
        <f ca="1">(RANDBETWEEN($E$14,$F$14)*$J$9)+$J$10+$J$18</f>
        <v>221933.48456383706</v>
      </c>
      <c r="K1030" s="37">
        <f ca="1">(RANDBETWEEN($E$14,$F$14)*$K$9)+$K$10+$K$18</f>
        <v>260393.25392346107</v>
      </c>
      <c r="L1030" s="37">
        <f ca="1">(RANDBETWEEN($E$14,$F$14)*$L$9)+$L$10+$L$18</f>
        <v>671221.40421803342</v>
      </c>
      <c r="M1030" s="37">
        <f ca="1">(RANDBETWEEN($E$14,$F$14)*$M$9)+$M$10+$M$18</f>
        <v>1043245.7659826493</v>
      </c>
      <c r="N1030" s="37">
        <f t="shared" ref="N1030" ca="1" si="996">NPV($E$23+$F$23,H1030:M1030)+$H$4</f>
        <v>1143033.9510231656</v>
      </c>
    </row>
    <row r="1031" spans="4:17" x14ac:dyDescent="0.25">
      <c r="D1031" s="33"/>
      <c r="E1031" s="33">
        <v>1001</v>
      </c>
      <c r="F1031" s="37"/>
      <c r="G1031" s="37"/>
      <c r="H1031" s="37">
        <f t="shared" si="761"/>
        <v>868800</v>
      </c>
      <c r="I1031" s="37">
        <f ca="1">(RANDBETWEEN($E$14,$F$14)*$I$9)+$I$10+$I$18</f>
        <v>-369472.96408399101</v>
      </c>
      <c r="J1031" s="37">
        <f ca="1">(RANDBETWEEN($E$14,$F$14)*$J$9)+$J$10+$J$18</f>
        <v>-9238.8910066427197</v>
      </c>
      <c r="K1031" s="37">
        <f ca="1">(RANDBETWEEN($E$14,$F$14)*$K$9)+$K$10+$K$18</f>
        <v>24363.532183028292</v>
      </c>
      <c r="L1031" s="37">
        <f ca="1">(RANDBETWEEN($E$14,$F$14)*$L$9)+$L$10+$L$18</f>
        <v>999716.39339203853</v>
      </c>
      <c r="M1031" s="37">
        <f ca="1">(RANDBETWEEN($E$14,$F$14)*$M$9)+$M$10+$M$18</f>
        <v>1424944.0925515993</v>
      </c>
      <c r="N1031" s="37">
        <f t="shared" ref="N1031" ca="1" si="997">NPV($E$23+$F$23,H1031:M1031)+$H$4</f>
        <v>1291369.9127910445</v>
      </c>
    </row>
    <row r="1032" spans="4:17" x14ac:dyDescent="0.25">
      <c r="D1032" s="33"/>
      <c r="E1032" s="36"/>
      <c r="F1032" s="34"/>
      <c r="G1032" s="34"/>
      <c r="H1032" s="34"/>
      <c r="I1032" s="34"/>
      <c r="J1032" s="34"/>
      <c r="K1032" s="34"/>
      <c r="L1032" s="35"/>
    </row>
    <row r="1033" spans="4:17" x14ac:dyDescent="0.25">
      <c r="D1033" s="33"/>
      <c r="E1033" s="36"/>
      <c r="F1033" s="34"/>
      <c r="G1033" s="34"/>
      <c r="H1033" s="34"/>
      <c r="I1033" s="34"/>
      <c r="J1033" s="34"/>
      <c r="K1033" s="34"/>
      <c r="L1033" s="35"/>
    </row>
    <row r="1034" spans="4:17" x14ac:dyDescent="0.25">
      <c r="D1034" s="33"/>
      <c r="E1034" s="36"/>
      <c r="F1034" s="34"/>
      <c r="G1034" s="34"/>
      <c r="H1034" s="34"/>
      <c r="I1034" s="34"/>
      <c r="J1034" s="34"/>
      <c r="K1034" s="34"/>
      <c r="L1034" s="35"/>
    </row>
    <row r="1035" spans="4:17" x14ac:dyDescent="0.25">
      <c r="D1035" s="33"/>
      <c r="E1035" s="36"/>
      <c r="F1035" s="34"/>
      <c r="G1035" s="34"/>
      <c r="H1035" s="34"/>
      <c r="I1035" s="34"/>
      <c r="J1035" s="34"/>
      <c r="K1035" s="34"/>
      <c r="L1035" s="35"/>
    </row>
    <row r="1036" spans="4:17" x14ac:dyDescent="0.25">
      <c r="D1036" s="33"/>
      <c r="E1036" s="36"/>
      <c r="F1036" s="34"/>
      <c r="G1036" s="34"/>
      <c r="H1036" s="34"/>
      <c r="I1036" s="34"/>
      <c r="J1036" s="34"/>
      <c r="K1036" s="34"/>
      <c r="L1036" s="35"/>
    </row>
    <row r="1037" spans="4:17" x14ac:dyDescent="0.25">
      <c r="D1037" s="33"/>
      <c r="E1037" s="36"/>
      <c r="F1037" s="34"/>
      <c r="G1037" s="34"/>
      <c r="H1037" s="34"/>
      <c r="I1037" s="34"/>
      <c r="J1037" s="34"/>
      <c r="K1037" s="34"/>
      <c r="L1037" s="35"/>
    </row>
    <row r="1038" spans="4:17" x14ac:dyDescent="0.25">
      <c r="D1038" s="33"/>
      <c r="E1038" s="36"/>
      <c r="F1038" s="34"/>
      <c r="G1038" s="34"/>
      <c r="H1038" s="34"/>
      <c r="I1038" s="34"/>
      <c r="J1038" s="34"/>
      <c r="K1038" s="34"/>
      <c r="L1038" s="35"/>
    </row>
    <row r="1039" spans="4:17" x14ac:dyDescent="0.25">
      <c r="D1039" s="33"/>
      <c r="E1039" s="36"/>
      <c r="F1039" s="34"/>
      <c r="G1039" s="34"/>
      <c r="H1039" s="34"/>
      <c r="I1039" s="34"/>
      <c r="J1039" s="34"/>
      <c r="K1039" s="34"/>
      <c r="L1039" s="35"/>
    </row>
    <row r="1040" spans="4:17" x14ac:dyDescent="0.25">
      <c r="D1040" s="33"/>
      <c r="E1040" s="36"/>
      <c r="F1040" s="34"/>
      <c r="G1040" s="34"/>
      <c r="H1040" s="34"/>
      <c r="I1040" s="34"/>
      <c r="J1040" s="34"/>
      <c r="K1040" s="34"/>
      <c r="L1040" s="35"/>
    </row>
    <row r="1041" spans="4:12" x14ac:dyDescent="0.25">
      <c r="D1041" s="33"/>
      <c r="E1041" s="36"/>
      <c r="F1041" s="34"/>
      <c r="G1041" s="34"/>
      <c r="H1041" s="34"/>
      <c r="I1041" s="34"/>
      <c r="J1041" s="34"/>
      <c r="K1041" s="34"/>
      <c r="L1041" s="35"/>
    </row>
  </sheetData>
  <sortState ref="Q31:T51">
    <sortCondition ref="R32"/>
  </sortState>
  <mergeCells count="3">
    <mergeCell ref="C6:D6"/>
    <mergeCell ref="C16:F16"/>
    <mergeCell ref="C4:F4"/>
  </mergeCells>
  <conditionalFormatting sqref="N31:N1031">
    <cfRule type="cellIs" dxfId="3" priority="1" operator="lessThanOrEqual">
      <formula>0</formula>
    </cfRule>
  </conditionalFormatting>
  <dataValidations count="1">
    <dataValidation type="whole" allowBlank="1" showInputMessage="1" showErrorMessage="1" prompt="Digite el número de ensayos de para la simulación" sqref="N29">
      <formula1>10</formula1>
      <formula2>10000</formula2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2:T1006"/>
  <sheetViews>
    <sheetView zoomScale="85" zoomScaleNormal="85" workbookViewId="0">
      <pane ySplit="2" topLeftCell="A3" activePane="bottomLeft" state="frozen"/>
      <selection pane="bottomLeft" activeCell="D5" sqref="D5:D9"/>
    </sheetView>
  </sheetViews>
  <sheetFormatPr baseColWidth="10" defaultRowHeight="15" x14ac:dyDescent="0.25"/>
  <cols>
    <col min="1" max="1" width="3.125" style="259" customWidth="1"/>
    <col min="2" max="2" width="2" style="259" customWidth="1"/>
    <col min="3" max="3" width="17" style="259" customWidth="1"/>
    <col min="4" max="4" width="15.875" style="259" customWidth="1"/>
    <col min="5" max="5" width="3.625" style="259" customWidth="1"/>
    <col min="6" max="6" width="9.625" style="259" customWidth="1"/>
    <col min="7" max="7" width="14.25" style="259" customWidth="1"/>
    <col min="8" max="8" width="4.875" style="259" customWidth="1"/>
    <col min="9" max="9" width="9.5" style="259" bestFit="1" customWidth="1"/>
    <col min="10" max="10" width="11.875" style="259" customWidth="1"/>
    <col min="11" max="11" width="12.5" style="259" customWidth="1"/>
    <col min="12" max="12" width="12.625" style="259" bestFit="1" customWidth="1"/>
    <col min="13" max="13" width="11.75" style="259" bestFit="1" customWidth="1"/>
    <col min="14" max="16" width="11" style="259"/>
    <col min="17" max="17" width="14.625" style="259" customWidth="1"/>
    <col min="18" max="19" width="11" style="259"/>
    <col min="20" max="20" width="7.125" style="259" customWidth="1"/>
    <col min="21" max="16384" width="11" style="259"/>
  </cols>
  <sheetData>
    <row r="2" spans="2:20" ht="32.25" thickBot="1" x14ac:dyDescent="0.5">
      <c r="B2" s="269"/>
      <c r="C2" s="270" t="s">
        <v>141</v>
      </c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</row>
    <row r="4" spans="2:20" ht="16.5" thickBot="1" x14ac:dyDescent="0.3">
      <c r="C4" s="306" t="s">
        <v>142</v>
      </c>
      <c r="D4" s="306"/>
      <c r="E4" s="255"/>
      <c r="F4" s="259" t="s">
        <v>154</v>
      </c>
      <c r="G4" s="259">
        <v>1000</v>
      </c>
      <c r="H4" s="255"/>
      <c r="I4" s="274"/>
      <c r="J4" s="280"/>
      <c r="K4" s="280"/>
    </row>
    <row r="5" spans="2:20" x14ac:dyDescent="0.25">
      <c r="C5" s="261" t="s">
        <v>143</v>
      </c>
      <c r="D5" s="262">
        <f>AVERAGE(G6:G1006)</f>
        <v>1269395.6289168342</v>
      </c>
      <c r="E5" s="262"/>
      <c r="G5" s="271" t="s">
        <v>15</v>
      </c>
      <c r="H5" s="262"/>
      <c r="I5" s="260" t="s">
        <v>151</v>
      </c>
      <c r="J5" s="260" t="s">
        <v>149</v>
      </c>
      <c r="K5" s="260" t="s">
        <v>152</v>
      </c>
      <c r="L5" s="260" t="s">
        <v>153</v>
      </c>
    </row>
    <row r="6" spans="2:20" ht="15.75" x14ac:dyDescent="0.25">
      <c r="C6" s="263" t="s">
        <v>144</v>
      </c>
      <c r="D6" s="264">
        <f>MEDIAN(G6:G1006)</f>
        <v>1258514.1201757588</v>
      </c>
      <c r="E6" s="264"/>
      <c r="F6" s="259">
        <v>1</v>
      </c>
      <c r="G6" s="265">
        <v>1282162.6350211627</v>
      </c>
      <c r="H6" s="264"/>
      <c r="I6" s="277">
        <f t="shared" ref="I6:I37" si="0">K6/SUM($K$6:$K$93)</f>
        <v>0</v>
      </c>
      <c r="J6" s="275">
        <v>6400000</v>
      </c>
      <c r="K6" s="276">
        <v>0</v>
      </c>
      <c r="L6" s="277">
        <f>I6</f>
        <v>0</v>
      </c>
    </row>
    <row r="7" spans="2:20" ht="15.75" x14ac:dyDescent="0.25">
      <c r="C7" s="281" t="s">
        <v>159</v>
      </c>
      <c r="D7" s="282">
        <f>IFERROR(STDEV(G6:G1006),0)</f>
        <v>375009.86623983411</v>
      </c>
      <c r="E7" s="264"/>
      <c r="F7" s="259">
        <v>2</v>
      </c>
      <c r="G7" s="265">
        <v>1885129.5661962316</v>
      </c>
      <c r="H7" s="264"/>
      <c r="I7" s="277">
        <f t="shared" si="0"/>
        <v>9.99000999000999E-4</v>
      </c>
      <c r="J7" s="275">
        <v>6500000</v>
      </c>
      <c r="K7" s="276">
        <v>1</v>
      </c>
      <c r="L7" s="277">
        <f>I7+L6</f>
        <v>9.99000999000999E-4</v>
      </c>
    </row>
    <row r="8" spans="2:20" ht="15.75" x14ac:dyDescent="0.25">
      <c r="C8" s="263" t="s">
        <v>145</v>
      </c>
      <c r="D8" s="264">
        <f>MIN(G6:G1006)</f>
        <v>250581.64051710838</v>
      </c>
      <c r="E8" s="264"/>
      <c r="F8" s="259">
        <v>3</v>
      </c>
      <c r="G8" s="265">
        <v>1564862.2998248283</v>
      </c>
      <c r="H8" s="264"/>
      <c r="I8" s="277">
        <f t="shared" si="0"/>
        <v>9.99000999000999E-4</v>
      </c>
      <c r="J8" s="275">
        <v>6600000</v>
      </c>
      <c r="K8" s="276">
        <v>1</v>
      </c>
      <c r="L8" s="277">
        <f t="shared" ref="L8:L71" si="1">I8+L7</f>
        <v>1.998001998001998E-3</v>
      </c>
    </row>
    <row r="9" spans="2:20" ht="15.75" x14ac:dyDescent="0.25">
      <c r="C9" s="263" t="s">
        <v>146</v>
      </c>
      <c r="D9" s="264">
        <f>MAX(G6:G1006)</f>
        <v>2306215.9541779426</v>
      </c>
      <c r="F9" s="259">
        <v>4</v>
      </c>
      <c r="G9" s="265">
        <v>1180032.9314571982</v>
      </c>
      <c r="I9" s="277">
        <f t="shared" si="0"/>
        <v>0</v>
      </c>
      <c r="J9" s="275">
        <v>6700000</v>
      </c>
      <c r="K9" s="276">
        <v>0</v>
      </c>
      <c r="L9" s="277">
        <f t="shared" si="1"/>
        <v>1.998001998001998E-3</v>
      </c>
    </row>
    <row r="10" spans="2:20" ht="15.75" x14ac:dyDescent="0.25">
      <c r="C10" s="263" t="s">
        <v>147</v>
      </c>
      <c r="D10" s="259">
        <f>KURT(G6:G1006)</f>
        <v>-0.30452325655524781</v>
      </c>
      <c r="F10" s="259">
        <v>5</v>
      </c>
      <c r="G10" s="265">
        <v>1178723.9085445097</v>
      </c>
      <c r="I10" s="277">
        <f t="shared" si="0"/>
        <v>9.99000999000999E-4</v>
      </c>
      <c r="J10" s="275">
        <v>6800000</v>
      </c>
      <c r="K10" s="276">
        <v>1</v>
      </c>
      <c r="L10" s="277">
        <f t="shared" si="1"/>
        <v>2.997002997002997E-3</v>
      </c>
    </row>
    <row r="11" spans="2:20" ht="15.75" x14ac:dyDescent="0.25">
      <c r="C11" s="263" t="s">
        <v>148</v>
      </c>
      <c r="D11" s="259">
        <f>SKEW(G6:G1006)</f>
        <v>6.1321000560477297E-2</v>
      </c>
      <c r="E11" s="268"/>
      <c r="F11" s="259">
        <v>6</v>
      </c>
      <c r="G11" s="265">
        <v>1865244.8890244658</v>
      </c>
      <c r="H11" s="268"/>
      <c r="I11" s="277">
        <f t="shared" si="0"/>
        <v>1.998001998001998E-3</v>
      </c>
      <c r="J11" s="275">
        <v>6900000</v>
      </c>
      <c r="K11" s="276">
        <v>2</v>
      </c>
      <c r="L11" s="277">
        <f t="shared" si="1"/>
        <v>4.995004995004995E-3</v>
      </c>
    </row>
    <row r="12" spans="2:20" ht="16.5" thickBot="1" x14ac:dyDescent="0.3">
      <c r="C12" s="266"/>
      <c r="D12" s="267"/>
      <c r="F12" s="259">
        <v>7</v>
      </c>
      <c r="G12" s="265">
        <v>682920.16951787495</v>
      </c>
      <c r="I12" s="277">
        <f t="shared" si="0"/>
        <v>0</v>
      </c>
      <c r="J12" s="275">
        <v>7000000</v>
      </c>
      <c r="K12" s="276">
        <v>0</v>
      </c>
      <c r="L12" s="277">
        <f t="shared" si="1"/>
        <v>4.995004995004995E-3</v>
      </c>
    </row>
    <row r="13" spans="2:20" ht="15.75" x14ac:dyDescent="0.25">
      <c r="F13" s="259">
        <v>8</v>
      </c>
      <c r="G13" s="265">
        <v>1180032.9314571982</v>
      </c>
      <c r="I13" s="277">
        <f t="shared" si="0"/>
        <v>9.99000999000999E-4</v>
      </c>
      <c r="J13" s="275">
        <v>7100000</v>
      </c>
      <c r="K13" s="276">
        <v>1</v>
      </c>
      <c r="L13" s="277">
        <f t="shared" si="1"/>
        <v>5.994005994005994E-3</v>
      </c>
    </row>
    <row r="14" spans="2:20" ht="15.75" x14ac:dyDescent="0.25">
      <c r="F14" s="259">
        <v>9</v>
      </c>
      <c r="G14" s="265">
        <v>691552.70567058492</v>
      </c>
      <c r="I14" s="277">
        <f t="shared" si="0"/>
        <v>0</v>
      </c>
      <c r="J14" s="275">
        <v>7200000</v>
      </c>
      <c r="K14" s="276">
        <v>0</v>
      </c>
      <c r="L14" s="277">
        <f t="shared" si="1"/>
        <v>5.994005994005994E-3</v>
      </c>
    </row>
    <row r="15" spans="2:20" ht="15.75" x14ac:dyDescent="0.25">
      <c r="F15" s="259">
        <v>10</v>
      </c>
      <c r="G15" s="265">
        <v>889593.46036392846</v>
      </c>
      <c r="I15" s="277">
        <f t="shared" si="0"/>
        <v>0</v>
      </c>
      <c r="J15" s="275">
        <v>7300000</v>
      </c>
      <c r="K15" s="276">
        <v>0</v>
      </c>
      <c r="L15" s="277">
        <f t="shared" si="1"/>
        <v>5.994005994005994E-3</v>
      </c>
    </row>
    <row r="16" spans="2:20" ht="15.75" x14ac:dyDescent="0.25">
      <c r="F16" s="259">
        <v>11</v>
      </c>
      <c r="G16" s="265">
        <v>1274634.9596738881</v>
      </c>
      <c r="I16" s="277">
        <f t="shared" si="0"/>
        <v>0</v>
      </c>
      <c r="J16" s="275">
        <v>7400000</v>
      </c>
      <c r="K16" s="276">
        <v>0</v>
      </c>
      <c r="L16" s="277">
        <f t="shared" si="1"/>
        <v>5.994005994005994E-3</v>
      </c>
    </row>
    <row r="17" spans="6:12" ht="15.75" x14ac:dyDescent="0.25">
      <c r="F17" s="259">
        <v>12</v>
      </c>
      <c r="G17" s="265">
        <v>1071619.4410303072</v>
      </c>
      <c r="I17" s="277">
        <f t="shared" si="0"/>
        <v>3.996003996003996E-3</v>
      </c>
      <c r="J17" s="275">
        <v>7500000</v>
      </c>
      <c r="K17" s="276">
        <v>4</v>
      </c>
      <c r="L17" s="277">
        <f t="shared" si="1"/>
        <v>9.99000999000999E-3</v>
      </c>
    </row>
    <row r="18" spans="6:12" ht="15.75" x14ac:dyDescent="0.25">
      <c r="F18" s="259">
        <v>13</v>
      </c>
      <c r="G18" s="265">
        <v>1146336.7920752317</v>
      </c>
      <c r="I18" s="277">
        <f t="shared" si="0"/>
        <v>0</v>
      </c>
      <c r="J18" s="275">
        <v>7600000</v>
      </c>
      <c r="K18" s="276">
        <v>0</v>
      </c>
      <c r="L18" s="277">
        <f t="shared" si="1"/>
        <v>9.99000999000999E-3</v>
      </c>
    </row>
    <row r="19" spans="6:12" ht="15.75" x14ac:dyDescent="0.25">
      <c r="F19" s="259">
        <v>14</v>
      </c>
      <c r="G19" s="265">
        <v>1619694.9736979865</v>
      </c>
      <c r="I19" s="277">
        <f t="shared" si="0"/>
        <v>9.99000999000999E-4</v>
      </c>
      <c r="J19" s="275">
        <v>7700000</v>
      </c>
      <c r="K19" s="276">
        <v>1</v>
      </c>
      <c r="L19" s="277">
        <f t="shared" si="1"/>
        <v>1.0989010989010988E-2</v>
      </c>
    </row>
    <row r="20" spans="6:12" ht="15.75" x14ac:dyDescent="0.25">
      <c r="F20" s="259">
        <v>15</v>
      </c>
      <c r="G20" s="265">
        <v>937102.62099706451</v>
      </c>
      <c r="I20" s="277">
        <f t="shared" si="0"/>
        <v>3.996003996003996E-3</v>
      </c>
      <c r="J20" s="275">
        <v>7800000</v>
      </c>
      <c r="K20" s="276">
        <v>4</v>
      </c>
      <c r="L20" s="277">
        <f t="shared" si="1"/>
        <v>1.4985014985014984E-2</v>
      </c>
    </row>
    <row r="21" spans="6:12" ht="15.75" x14ac:dyDescent="0.25">
      <c r="F21" s="259">
        <v>16</v>
      </c>
      <c r="G21" s="265">
        <v>1156278.3511406295</v>
      </c>
      <c r="I21" s="277">
        <f t="shared" si="0"/>
        <v>6.993006993006993E-3</v>
      </c>
      <c r="J21" s="275">
        <v>7900000</v>
      </c>
      <c r="K21" s="276">
        <v>7</v>
      </c>
      <c r="L21" s="277">
        <f t="shared" si="1"/>
        <v>2.1978021978021976E-2</v>
      </c>
    </row>
    <row r="22" spans="6:12" ht="15.75" x14ac:dyDescent="0.25">
      <c r="F22" s="259">
        <v>17</v>
      </c>
      <c r="G22" s="265">
        <v>1532581.2488267152</v>
      </c>
      <c r="I22" s="277">
        <f t="shared" si="0"/>
        <v>7.992007992007992E-3</v>
      </c>
      <c r="J22" s="275">
        <v>8000000</v>
      </c>
      <c r="K22" s="276">
        <v>8</v>
      </c>
      <c r="L22" s="277">
        <f t="shared" si="1"/>
        <v>2.9970029970029968E-2</v>
      </c>
    </row>
    <row r="23" spans="6:12" ht="15.75" x14ac:dyDescent="0.25">
      <c r="F23" s="259">
        <v>18</v>
      </c>
      <c r="G23" s="265">
        <v>1634817.0178618445</v>
      </c>
      <c r="I23" s="277">
        <f t="shared" si="0"/>
        <v>5.994005994005994E-3</v>
      </c>
      <c r="J23" s="275">
        <v>8100000</v>
      </c>
      <c r="K23" s="276">
        <v>6</v>
      </c>
      <c r="L23" s="277">
        <f t="shared" si="1"/>
        <v>3.5964035964035961E-2</v>
      </c>
    </row>
    <row r="24" spans="6:12" ht="15.75" x14ac:dyDescent="0.25">
      <c r="F24" s="259">
        <v>19</v>
      </c>
      <c r="G24" s="265">
        <v>1222257.1005616793</v>
      </c>
      <c r="I24" s="277">
        <f t="shared" si="0"/>
        <v>1.998001998001998E-3</v>
      </c>
      <c r="J24" s="275">
        <v>8200000</v>
      </c>
      <c r="K24" s="276">
        <v>2</v>
      </c>
      <c r="L24" s="277">
        <f t="shared" si="1"/>
        <v>3.796203796203796E-2</v>
      </c>
    </row>
    <row r="25" spans="6:12" ht="15.75" x14ac:dyDescent="0.25">
      <c r="F25" s="259">
        <v>20</v>
      </c>
      <c r="G25" s="265">
        <v>635517.07435590355</v>
      </c>
      <c r="I25" s="277">
        <f t="shared" si="0"/>
        <v>6.993006993006993E-3</v>
      </c>
      <c r="J25" s="275">
        <v>8300000</v>
      </c>
      <c r="K25" s="276">
        <v>7</v>
      </c>
      <c r="L25" s="277">
        <f t="shared" si="1"/>
        <v>4.4955044955044952E-2</v>
      </c>
    </row>
    <row r="26" spans="6:12" ht="15.75" x14ac:dyDescent="0.25">
      <c r="F26" s="259">
        <v>21</v>
      </c>
      <c r="G26" s="265">
        <v>1211111.0250137872</v>
      </c>
      <c r="I26" s="277">
        <f t="shared" si="0"/>
        <v>7.992007992007992E-3</v>
      </c>
      <c r="J26" s="275">
        <v>8400000</v>
      </c>
      <c r="K26" s="276">
        <v>8</v>
      </c>
      <c r="L26" s="277">
        <f t="shared" si="1"/>
        <v>5.2947052947052944E-2</v>
      </c>
    </row>
    <row r="27" spans="6:12" ht="15.75" x14ac:dyDescent="0.25">
      <c r="F27" s="259">
        <v>22</v>
      </c>
      <c r="G27" s="265">
        <v>865944.94551852485</v>
      </c>
      <c r="I27" s="277">
        <f t="shared" si="0"/>
        <v>8.9910089910089919E-3</v>
      </c>
      <c r="J27" s="275">
        <v>8500000</v>
      </c>
      <c r="K27" s="276">
        <v>9</v>
      </c>
      <c r="L27" s="277">
        <f t="shared" si="1"/>
        <v>6.1938061938061936E-2</v>
      </c>
    </row>
    <row r="28" spans="6:12" ht="15.75" x14ac:dyDescent="0.25">
      <c r="F28" s="259">
        <v>23</v>
      </c>
      <c r="G28" s="265">
        <v>1465187.4110218124</v>
      </c>
      <c r="I28" s="277">
        <f t="shared" si="0"/>
        <v>8.9910089910089919E-3</v>
      </c>
      <c r="J28" s="275">
        <v>8600000</v>
      </c>
      <c r="K28" s="276">
        <v>9</v>
      </c>
      <c r="L28" s="277">
        <f t="shared" si="1"/>
        <v>7.0929070929070928E-2</v>
      </c>
    </row>
    <row r="29" spans="6:12" ht="15.75" x14ac:dyDescent="0.25">
      <c r="F29" s="259">
        <v>24</v>
      </c>
      <c r="G29" s="265">
        <v>980683.15385116637</v>
      </c>
      <c r="I29" s="277">
        <f t="shared" si="0"/>
        <v>6.993006993006993E-3</v>
      </c>
      <c r="J29" s="275">
        <v>8700000</v>
      </c>
      <c r="K29" s="276">
        <v>7</v>
      </c>
      <c r="L29" s="277">
        <f t="shared" si="1"/>
        <v>7.792207792207792E-2</v>
      </c>
    </row>
    <row r="30" spans="6:12" ht="15.75" x14ac:dyDescent="0.25">
      <c r="F30" s="259">
        <v>25</v>
      </c>
      <c r="G30" s="265">
        <v>1269766.2611948149</v>
      </c>
      <c r="I30" s="277">
        <f t="shared" si="0"/>
        <v>1.6983016983016984E-2</v>
      </c>
      <c r="J30" s="275">
        <v>8800000</v>
      </c>
      <c r="K30" s="276">
        <v>17</v>
      </c>
      <c r="L30" s="277">
        <f t="shared" si="1"/>
        <v>9.4905094905094911E-2</v>
      </c>
    </row>
    <row r="31" spans="6:12" ht="15.75" x14ac:dyDescent="0.25">
      <c r="F31" s="259">
        <v>26</v>
      </c>
      <c r="G31" s="265">
        <v>893463.36350872996</v>
      </c>
      <c r="I31" s="277">
        <f t="shared" si="0"/>
        <v>9.99000999000999E-3</v>
      </c>
      <c r="J31" s="275">
        <v>8900000</v>
      </c>
      <c r="K31" s="276">
        <v>10</v>
      </c>
      <c r="L31" s="277">
        <f t="shared" si="1"/>
        <v>0.1048951048951049</v>
      </c>
    </row>
    <row r="32" spans="6:12" ht="15.75" x14ac:dyDescent="0.25">
      <c r="F32" s="259">
        <v>27</v>
      </c>
      <c r="G32" s="265">
        <v>1667204.1343311225</v>
      </c>
      <c r="I32" s="277">
        <f t="shared" si="0"/>
        <v>8.9910089910089919E-3</v>
      </c>
      <c r="J32" s="275">
        <v>9000000</v>
      </c>
      <c r="K32" s="276">
        <v>9</v>
      </c>
      <c r="L32" s="277">
        <f t="shared" si="1"/>
        <v>0.11388611388611389</v>
      </c>
    </row>
    <row r="33" spans="6:12" ht="15.75" x14ac:dyDescent="0.25">
      <c r="F33" s="259">
        <v>28</v>
      </c>
      <c r="G33" s="265">
        <v>1234759.5398591915</v>
      </c>
      <c r="I33" s="277">
        <f t="shared" si="0"/>
        <v>1.5984015984015984E-2</v>
      </c>
      <c r="J33" s="275">
        <v>9100000</v>
      </c>
      <c r="K33" s="276">
        <v>16</v>
      </c>
      <c r="L33" s="277">
        <f t="shared" si="1"/>
        <v>0.12987012987012986</v>
      </c>
    </row>
    <row r="34" spans="6:12" ht="15.75" x14ac:dyDescent="0.25">
      <c r="F34" s="259">
        <v>29</v>
      </c>
      <c r="G34" s="265">
        <v>1176163.0283123963</v>
      </c>
      <c r="I34" s="277">
        <f t="shared" si="0"/>
        <v>1.5984015984015984E-2</v>
      </c>
      <c r="J34" s="275">
        <v>9200000</v>
      </c>
      <c r="K34" s="276">
        <v>16</v>
      </c>
      <c r="L34" s="277">
        <f t="shared" si="1"/>
        <v>0.14585414585414586</v>
      </c>
    </row>
    <row r="35" spans="6:12" ht="15.75" x14ac:dyDescent="0.25">
      <c r="F35" s="259">
        <v>30</v>
      </c>
      <c r="G35" s="265">
        <v>1743018.3773464058</v>
      </c>
      <c r="I35" s="277">
        <f t="shared" si="0"/>
        <v>1.4985014985014986E-2</v>
      </c>
      <c r="J35" s="275">
        <v>9300000</v>
      </c>
      <c r="K35" s="276">
        <v>15</v>
      </c>
      <c r="L35" s="277">
        <f t="shared" si="1"/>
        <v>0.16083916083916083</v>
      </c>
    </row>
    <row r="36" spans="6:12" ht="15.75" x14ac:dyDescent="0.25">
      <c r="F36" s="259">
        <v>31</v>
      </c>
      <c r="G36" s="265">
        <v>1710737.3263482922</v>
      </c>
      <c r="I36" s="277">
        <f t="shared" si="0"/>
        <v>1.4985014985014986E-2</v>
      </c>
      <c r="J36" s="275">
        <v>9400000</v>
      </c>
      <c r="K36" s="276">
        <v>15</v>
      </c>
      <c r="L36" s="277">
        <f t="shared" si="1"/>
        <v>0.17582417582417581</v>
      </c>
    </row>
    <row r="37" spans="6:12" ht="15.75" x14ac:dyDescent="0.25">
      <c r="F37" s="259">
        <v>32</v>
      </c>
      <c r="G37" s="265">
        <v>1556229.7636721185</v>
      </c>
      <c r="I37" s="277">
        <f t="shared" si="0"/>
        <v>1.098901098901099E-2</v>
      </c>
      <c r="J37" s="275">
        <v>9500000</v>
      </c>
      <c r="K37" s="276">
        <v>11</v>
      </c>
      <c r="L37" s="277">
        <f t="shared" si="1"/>
        <v>0.18681318681318679</v>
      </c>
    </row>
    <row r="38" spans="6:12" ht="15.75" x14ac:dyDescent="0.25">
      <c r="F38" s="259">
        <v>33</v>
      </c>
      <c r="G38" s="265">
        <v>1334540.4941333719</v>
      </c>
      <c r="I38" s="277">
        <f t="shared" ref="I38:I69" si="2">K38/SUM($K$6:$K$93)</f>
        <v>1.7982017982017984E-2</v>
      </c>
      <c r="J38" s="275">
        <v>9600000</v>
      </c>
      <c r="K38" s="276">
        <v>18</v>
      </c>
      <c r="L38" s="277">
        <f t="shared" si="1"/>
        <v>0.20479520479520477</v>
      </c>
    </row>
    <row r="39" spans="6:12" ht="15.75" x14ac:dyDescent="0.25">
      <c r="F39" s="259">
        <v>34</v>
      </c>
      <c r="G39" s="265">
        <v>1325801.8925094972</v>
      </c>
      <c r="I39" s="277">
        <f t="shared" si="2"/>
        <v>1.1988011988011988E-2</v>
      </c>
      <c r="J39" s="275">
        <v>9700000</v>
      </c>
      <c r="K39" s="276">
        <v>12</v>
      </c>
      <c r="L39" s="277">
        <f t="shared" si="1"/>
        <v>0.21678321678321677</v>
      </c>
    </row>
    <row r="40" spans="6:12" ht="15.75" x14ac:dyDescent="0.25">
      <c r="F40" s="259">
        <v>35</v>
      </c>
      <c r="G40" s="265">
        <v>1254644.2170309569</v>
      </c>
      <c r="I40" s="277">
        <f t="shared" si="2"/>
        <v>1.3986013986013986E-2</v>
      </c>
      <c r="J40" s="275">
        <v>9800000</v>
      </c>
      <c r="K40" s="276">
        <v>14</v>
      </c>
      <c r="L40" s="277">
        <f t="shared" si="1"/>
        <v>0.23076923076923075</v>
      </c>
    </row>
    <row r="41" spans="6:12" ht="15.75" x14ac:dyDescent="0.25">
      <c r="F41" s="259">
        <v>36</v>
      </c>
      <c r="G41" s="265">
        <v>1730622.003520058</v>
      </c>
      <c r="I41" s="277">
        <f t="shared" si="2"/>
        <v>1.5984015984015984E-2</v>
      </c>
      <c r="J41" s="275">
        <v>9900000</v>
      </c>
      <c r="K41" s="276">
        <v>16</v>
      </c>
      <c r="L41" s="277">
        <f t="shared" si="1"/>
        <v>0.24675324675324672</v>
      </c>
    </row>
    <row r="42" spans="6:12" ht="15.75" x14ac:dyDescent="0.25">
      <c r="F42" s="259">
        <v>37</v>
      </c>
      <c r="G42" s="265">
        <v>1334540.4941333719</v>
      </c>
      <c r="I42" s="277">
        <f t="shared" si="2"/>
        <v>2.2977022977022976E-2</v>
      </c>
      <c r="J42" s="275">
        <v>10000000</v>
      </c>
      <c r="K42" s="276">
        <v>23</v>
      </c>
      <c r="L42" s="277">
        <f t="shared" si="1"/>
        <v>0.2697302697302697</v>
      </c>
    </row>
    <row r="43" spans="6:12" ht="15.75" x14ac:dyDescent="0.25">
      <c r="F43" s="259">
        <v>38</v>
      </c>
      <c r="G43" s="265">
        <v>1278398.7973475256</v>
      </c>
      <c r="I43" s="277">
        <f t="shared" si="2"/>
        <v>1.3986013986013986E-2</v>
      </c>
      <c r="J43" s="275">
        <v>10100000</v>
      </c>
      <c r="K43" s="276">
        <v>14</v>
      </c>
      <c r="L43" s="277">
        <f t="shared" si="1"/>
        <v>0.28371628371628371</v>
      </c>
    </row>
    <row r="44" spans="6:12" ht="15.75" x14ac:dyDescent="0.25">
      <c r="F44" s="259">
        <v>39</v>
      </c>
      <c r="G44" s="265">
        <v>2075788.0830153208</v>
      </c>
      <c r="I44" s="277">
        <f t="shared" si="2"/>
        <v>2.4975024975024976E-2</v>
      </c>
      <c r="J44" s="275">
        <v>10200000</v>
      </c>
      <c r="K44" s="276">
        <v>25</v>
      </c>
      <c r="L44" s="277">
        <f t="shared" si="1"/>
        <v>0.30869130869130867</v>
      </c>
    </row>
    <row r="45" spans="6:12" ht="15.75" x14ac:dyDescent="0.25">
      <c r="F45" s="259">
        <v>40</v>
      </c>
      <c r="G45" s="265">
        <v>1104006.5574995852</v>
      </c>
      <c r="I45" s="277">
        <f t="shared" si="2"/>
        <v>2.7972027972027972E-2</v>
      </c>
      <c r="J45" s="275">
        <v>10300000</v>
      </c>
      <c r="K45" s="276">
        <v>28</v>
      </c>
      <c r="L45" s="277">
        <f t="shared" si="1"/>
        <v>0.33666333666333664</v>
      </c>
    </row>
    <row r="46" spans="6:12" ht="15.75" x14ac:dyDescent="0.25">
      <c r="F46" s="259">
        <v>41</v>
      </c>
      <c r="G46" s="265">
        <v>1330670.5909885699</v>
      </c>
      <c r="I46" s="277">
        <f t="shared" si="2"/>
        <v>2.2977022977022976E-2</v>
      </c>
      <c r="J46" s="275">
        <v>10400000</v>
      </c>
      <c r="K46" s="276">
        <v>23</v>
      </c>
      <c r="L46" s="277">
        <f t="shared" si="1"/>
        <v>0.35964035964035962</v>
      </c>
    </row>
    <row r="47" spans="6:12" ht="15.75" x14ac:dyDescent="0.25">
      <c r="F47" s="259">
        <v>42</v>
      </c>
      <c r="G47" s="265">
        <v>1786657.6348347403</v>
      </c>
      <c r="I47" s="277">
        <f t="shared" si="2"/>
        <v>1.7982017982017984E-2</v>
      </c>
      <c r="J47" s="275">
        <v>10500000</v>
      </c>
      <c r="K47" s="276">
        <v>18</v>
      </c>
      <c r="L47" s="277">
        <f t="shared" si="1"/>
        <v>0.3776223776223776</v>
      </c>
    </row>
    <row r="48" spans="6:12" ht="15.75" x14ac:dyDescent="0.25">
      <c r="F48" s="259">
        <v>43</v>
      </c>
      <c r="G48" s="265">
        <v>1873877.4251771756</v>
      </c>
      <c r="I48" s="277">
        <f t="shared" si="2"/>
        <v>2.2977022977022976E-2</v>
      </c>
      <c r="J48" s="275">
        <v>10600000</v>
      </c>
      <c r="K48" s="276">
        <v>23</v>
      </c>
      <c r="L48" s="277">
        <f t="shared" si="1"/>
        <v>0.40059940059940058</v>
      </c>
    </row>
    <row r="49" spans="6:12" ht="15.75" x14ac:dyDescent="0.25">
      <c r="F49" s="259">
        <v>44</v>
      </c>
      <c r="G49" s="265">
        <v>1480309.4551856709</v>
      </c>
      <c r="I49" s="277">
        <f t="shared" si="2"/>
        <v>2.4975024975024976E-2</v>
      </c>
      <c r="J49" s="275">
        <v>10700000</v>
      </c>
      <c r="K49" s="276">
        <v>25</v>
      </c>
      <c r="L49" s="277">
        <f t="shared" si="1"/>
        <v>0.42557442557442554</v>
      </c>
    </row>
    <row r="50" spans="6:12" ht="15.75" x14ac:dyDescent="0.25">
      <c r="F50" s="259">
        <v>45</v>
      </c>
      <c r="G50" s="265">
        <v>1556229.7636721185</v>
      </c>
      <c r="I50" s="277">
        <f t="shared" si="2"/>
        <v>3.5964035964035967E-2</v>
      </c>
      <c r="J50" s="275">
        <v>10800000</v>
      </c>
      <c r="K50" s="276">
        <v>36</v>
      </c>
      <c r="L50" s="277">
        <f t="shared" si="1"/>
        <v>0.46153846153846151</v>
      </c>
    </row>
    <row r="51" spans="6:12" ht="15.75" x14ac:dyDescent="0.25">
      <c r="F51" s="259">
        <v>46</v>
      </c>
      <c r="G51" s="265">
        <v>1508932.7339813118</v>
      </c>
      <c r="I51" s="277">
        <f t="shared" si="2"/>
        <v>2.7972027972027972E-2</v>
      </c>
      <c r="J51" s="275">
        <v>10900000</v>
      </c>
      <c r="K51" s="276">
        <v>28</v>
      </c>
      <c r="L51" s="277">
        <f t="shared" si="1"/>
        <v>0.48951048951048948</v>
      </c>
    </row>
    <row r="52" spans="6:12" ht="15.75" x14ac:dyDescent="0.25">
      <c r="F52" s="259">
        <v>47</v>
      </c>
      <c r="G52" s="265">
        <v>1067855.6033566697</v>
      </c>
      <c r="I52" s="277">
        <f t="shared" si="2"/>
        <v>2.3976023976023976E-2</v>
      </c>
      <c r="J52" s="275">
        <v>11000000</v>
      </c>
      <c r="K52" s="276">
        <v>24</v>
      </c>
      <c r="L52" s="277">
        <f t="shared" si="1"/>
        <v>0.51348651348651342</v>
      </c>
    </row>
    <row r="53" spans="6:12" ht="15.75" x14ac:dyDescent="0.25">
      <c r="F53" s="259">
        <v>48</v>
      </c>
      <c r="G53" s="265">
        <v>1126452.1149034649</v>
      </c>
      <c r="I53" s="277">
        <f t="shared" si="2"/>
        <v>2.6973026973026972E-2</v>
      </c>
      <c r="J53" s="275">
        <v>11100000</v>
      </c>
      <c r="K53" s="276">
        <v>27</v>
      </c>
      <c r="L53" s="277">
        <f t="shared" si="1"/>
        <v>0.54045954045954037</v>
      </c>
    </row>
    <row r="54" spans="6:12" ht="15.75" x14ac:dyDescent="0.25">
      <c r="F54" s="259">
        <v>49</v>
      </c>
      <c r="G54" s="265">
        <v>1564968.3652959932</v>
      </c>
      <c r="I54" s="277">
        <f t="shared" si="2"/>
        <v>2.5974025974025976E-2</v>
      </c>
      <c r="J54" s="275">
        <v>11200000</v>
      </c>
      <c r="K54" s="276">
        <v>26</v>
      </c>
      <c r="L54" s="277">
        <f t="shared" si="1"/>
        <v>0.56643356643356635</v>
      </c>
    </row>
    <row r="55" spans="6:12" ht="15.75" x14ac:dyDescent="0.25">
      <c r="F55" s="259">
        <v>50</v>
      </c>
      <c r="G55" s="265">
        <v>1246011.6808782471</v>
      </c>
      <c r="I55" s="277">
        <f t="shared" si="2"/>
        <v>1.998001998001998E-2</v>
      </c>
      <c r="J55" s="275">
        <v>11300000</v>
      </c>
      <c r="K55" s="276">
        <v>20</v>
      </c>
      <c r="L55" s="277">
        <f t="shared" si="1"/>
        <v>0.58641358641358632</v>
      </c>
    </row>
    <row r="56" spans="6:12" ht="15.75" x14ac:dyDescent="0.25">
      <c r="F56" s="259">
        <v>51</v>
      </c>
      <c r="G56" s="265">
        <v>1234759.5398591915</v>
      </c>
      <c r="I56" s="277">
        <f t="shared" si="2"/>
        <v>2.2977022977022976E-2</v>
      </c>
      <c r="J56" s="275">
        <v>11400000</v>
      </c>
      <c r="K56" s="276">
        <v>23</v>
      </c>
      <c r="L56" s="277">
        <f t="shared" si="1"/>
        <v>0.60939060939060929</v>
      </c>
    </row>
    <row r="57" spans="6:12" ht="15.75" x14ac:dyDescent="0.25">
      <c r="F57" s="259">
        <v>52</v>
      </c>
      <c r="G57" s="265">
        <v>1146336.7920752317</v>
      </c>
      <c r="I57" s="277">
        <f t="shared" si="2"/>
        <v>3.0969030969030968E-2</v>
      </c>
      <c r="J57" s="275">
        <v>11500000</v>
      </c>
      <c r="K57" s="276">
        <v>31</v>
      </c>
      <c r="L57" s="277">
        <f t="shared" si="1"/>
        <v>0.64035964035964021</v>
      </c>
    </row>
    <row r="58" spans="6:12" ht="15.75" x14ac:dyDescent="0.25">
      <c r="F58" s="259">
        <v>53</v>
      </c>
      <c r="G58" s="265">
        <v>945735.15714977449</v>
      </c>
      <c r="I58" s="277">
        <f t="shared" si="2"/>
        <v>1.898101898101898E-2</v>
      </c>
      <c r="J58" s="275">
        <v>11600000</v>
      </c>
      <c r="K58" s="276">
        <v>19</v>
      </c>
      <c r="L58" s="277">
        <f t="shared" si="1"/>
        <v>0.65934065934065922</v>
      </c>
    </row>
    <row r="59" spans="6:12" ht="15.75" x14ac:dyDescent="0.25">
      <c r="F59" s="259">
        <v>54</v>
      </c>
      <c r="G59" s="265">
        <v>1298389.5399904563</v>
      </c>
      <c r="I59" s="277">
        <f t="shared" si="2"/>
        <v>3.2967032967032968E-2</v>
      </c>
      <c r="J59" s="275">
        <v>11700000</v>
      </c>
      <c r="K59" s="276">
        <v>33</v>
      </c>
      <c r="L59" s="277">
        <f t="shared" si="1"/>
        <v>0.69230769230769218</v>
      </c>
    </row>
    <row r="60" spans="6:12" ht="15.75" x14ac:dyDescent="0.25">
      <c r="F60" s="259">
        <v>55</v>
      </c>
      <c r="G60" s="265">
        <v>1430345.4797915858</v>
      </c>
      <c r="I60" s="277">
        <f t="shared" si="2"/>
        <v>2.5974025974025976E-2</v>
      </c>
      <c r="J60" s="275">
        <v>11800000</v>
      </c>
      <c r="K60" s="276">
        <v>26</v>
      </c>
      <c r="L60" s="277">
        <f t="shared" si="1"/>
        <v>0.71828171828171816</v>
      </c>
    </row>
    <row r="61" spans="6:12" ht="15.75" x14ac:dyDescent="0.25">
      <c r="F61" s="259">
        <v>56</v>
      </c>
      <c r="G61" s="265">
        <v>1258408.0547045944</v>
      </c>
      <c r="I61" s="277">
        <f t="shared" si="2"/>
        <v>2.4975024975024976E-2</v>
      </c>
      <c r="J61" s="275">
        <v>11900000</v>
      </c>
      <c r="K61" s="276">
        <v>25</v>
      </c>
      <c r="L61" s="277">
        <f t="shared" si="1"/>
        <v>0.74325674325674318</v>
      </c>
    </row>
    <row r="62" spans="6:12" ht="15.75" x14ac:dyDescent="0.25">
      <c r="F62" s="259">
        <v>57</v>
      </c>
      <c r="G62" s="265">
        <v>737752.84339103266</v>
      </c>
      <c r="I62" s="277">
        <f t="shared" si="2"/>
        <v>1.4985014985014986E-2</v>
      </c>
      <c r="J62" s="275">
        <v>12000000</v>
      </c>
      <c r="K62" s="276">
        <v>15</v>
      </c>
      <c r="L62" s="277">
        <f t="shared" si="1"/>
        <v>0.75824175824175821</v>
      </c>
    </row>
    <row r="63" spans="6:12" ht="15.75" x14ac:dyDescent="0.25">
      <c r="F63" s="259">
        <v>58</v>
      </c>
      <c r="G63" s="265">
        <v>921980.57683320669</v>
      </c>
      <c r="I63" s="277">
        <f t="shared" si="2"/>
        <v>2.097902097902098E-2</v>
      </c>
      <c r="J63" s="275">
        <v>12100000</v>
      </c>
      <c r="K63" s="276">
        <v>21</v>
      </c>
      <c r="L63" s="277">
        <f t="shared" si="1"/>
        <v>0.77922077922077915</v>
      </c>
    </row>
    <row r="64" spans="6:12" ht="15.75" x14ac:dyDescent="0.25">
      <c r="F64" s="259">
        <v>59</v>
      </c>
      <c r="G64" s="265">
        <v>1686982.7460317239</v>
      </c>
      <c r="I64" s="277">
        <f t="shared" si="2"/>
        <v>1.5984015984015984E-2</v>
      </c>
      <c r="J64" s="275">
        <v>12200000</v>
      </c>
      <c r="K64" s="276">
        <v>16</v>
      </c>
      <c r="L64" s="277">
        <f t="shared" si="1"/>
        <v>0.79520479520479515</v>
      </c>
    </row>
    <row r="65" spans="6:12" ht="15.75" x14ac:dyDescent="0.25">
      <c r="F65" s="259">
        <v>60</v>
      </c>
      <c r="G65" s="265">
        <v>1091610.1836732384</v>
      </c>
      <c r="I65" s="277">
        <f t="shared" si="2"/>
        <v>2.4975024975024976E-2</v>
      </c>
      <c r="J65" s="275">
        <v>12300000</v>
      </c>
      <c r="K65" s="276">
        <v>25</v>
      </c>
      <c r="L65" s="277">
        <f t="shared" si="1"/>
        <v>0.82017982017982016</v>
      </c>
    </row>
    <row r="66" spans="6:12" ht="15.75" x14ac:dyDescent="0.25">
      <c r="F66" s="259">
        <v>61</v>
      </c>
      <c r="G66" s="265">
        <v>1100242.7198259481</v>
      </c>
      <c r="I66" s="277">
        <f t="shared" si="2"/>
        <v>7.992007992007992E-3</v>
      </c>
      <c r="J66" s="275">
        <v>12400000</v>
      </c>
      <c r="K66" s="276">
        <v>8</v>
      </c>
      <c r="L66" s="277">
        <f t="shared" si="1"/>
        <v>0.82817182817182811</v>
      </c>
    </row>
    <row r="67" spans="6:12" ht="15.75" x14ac:dyDescent="0.25">
      <c r="F67" s="259">
        <v>62</v>
      </c>
      <c r="G67" s="265">
        <v>1356879.9860660867</v>
      </c>
      <c r="I67" s="277">
        <f t="shared" si="2"/>
        <v>1.2987012987012988E-2</v>
      </c>
      <c r="J67" s="275">
        <v>12500000</v>
      </c>
      <c r="K67" s="276">
        <v>13</v>
      </c>
      <c r="L67" s="277">
        <f t="shared" si="1"/>
        <v>0.8411588411588411</v>
      </c>
    </row>
    <row r="68" spans="6:12" ht="15.75" x14ac:dyDescent="0.25">
      <c r="F68" s="259">
        <v>63</v>
      </c>
      <c r="G68" s="265">
        <v>635517.07435590355</v>
      </c>
      <c r="I68" s="277">
        <f t="shared" si="2"/>
        <v>1.6983016983016984E-2</v>
      </c>
      <c r="J68" s="275">
        <v>12600000</v>
      </c>
      <c r="K68" s="276">
        <v>17</v>
      </c>
      <c r="L68" s="277">
        <f t="shared" si="1"/>
        <v>0.85814185814185806</v>
      </c>
    </row>
    <row r="69" spans="6:12" ht="15.75" x14ac:dyDescent="0.25">
      <c r="F69" s="259">
        <v>64</v>
      </c>
      <c r="G69" s="265">
        <v>1508826.6685101469</v>
      </c>
      <c r="I69" s="277">
        <f t="shared" si="2"/>
        <v>1.098901098901099E-2</v>
      </c>
      <c r="J69" s="275">
        <v>12700000</v>
      </c>
      <c r="K69" s="276">
        <v>11</v>
      </c>
      <c r="L69" s="277">
        <f t="shared" si="1"/>
        <v>0.86913086913086901</v>
      </c>
    </row>
    <row r="70" spans="6:12" ht="15.75" x14ac:dyDescent="0.25">
      <c r="F70" s="259">
        <v>65</v>
      </c>
      <c r="G70" s="265">
        <v>971944.55222729174</v>
      </c>
      <c r="I70" s="277">
        <f t="shared" ref="I70:I93" si="3">K70/SUM($K$6:$K$93)</f>
        <v>9.99000999000999E-3</v>
      </c>
      <c r="J70" s="275">
        <v>12800000</v>
      </c>
      <c r="K70" s="276">
        <v>10</v>
      </c>
      <c r="L70" s="277">
        <f t="shared" si="1"/>
        <v>0.879120879120879</v>
      </c>
    </row>
    <row r="71" spans="6:12" ht="15.75" x14ac:dyDescent="0.25">
      <c r="F71" s="259">
        <v>66</v>
      </c>
      <c r="G71" s="265">
        <v>1356879.9860660867</v>
      </c>
      <c r="I71" s="277">
        <f t="shared" si="3"/>
        <v>1.098901098901099E-2</v>
      </c>
      <c r="J71" s="275">
        <v>12900000</v>
      </c>
      <c r="K71" s="276">
        <v>11</v>
      </c>
      <c r="L71" s="277">
        <f t="shared" si="1"/>
        <v>0.89010989010988995</v>
      </c>
    </row>
    <row r="72" spans="6:12" ht="15.75" x14ac:dyDescent="0.25">
      <c r="F72" s="259">
        <v>67</v>
      </c>
      <c r="G72" s="265">
        <v>659165.58920130669</v>
      </c>
      <c r="I72" s="277">
        <f t="shared" si="3"/>
        <v>1.5984015984015984E-2</v>
      </c>
      <c r="J72" s="275">
        <v>13000000</v>
      </c>
      <c r="K72" s="276">
        <v>16</v>
      </c>
      <c r="L72" s="277">
        <f t="shared" ref="L72:L93" si="4">I72+L71</f>
        <v>0.90609390609390594</v>
      </c>
    </row>
    <row r="73" spans="6:12" ht="15.75" x14ac:dyDescent="0.25">
      <c r="F73" s="259">
        <v>68</v>
      </c>
      <c r="G73" s="265">
        <v>925850.47997800843</v>
      </c>
      <c r="I73" s="277">
        <f t="shared" si="3"/>
        <v>9.99000999000999E-3</v>
      </c>
      <c r="J73" s="275">
        <v>13100000</v>
      </c>
      <c r="K73" s="276">
        <v>10</v>
      </c>
      <c r="L73" s="277">
        <f t="shared" si="4"/>
        <v>0.91608391608391593</v>
      </c>
    </row>
    <row r="74" spans="6:12" ht="15.75" x14ac:dyDescent="0.25">
      <c r="F74" s="259">
        <v>69</v>
      </c>
      <c r="G74" s="265">
        <v>915908.92091260967</v>
      </c>
      <c r="I74" s="277">
        <f t="shared" si="3"/>
        <v>1.5984015984015984E-2</v>
      </c>
      <c r="J74" s="275">
        <v>13200000</v>
      </c>
      <c r="K74" s="276">
        <v>16</v>
      </c>
      <c r="L74" s="277">
        <f t="shared" si="4"/>
        <v>0.93206793206793193</v>
      </c>
    </row>
    <row r="75" spans="6:12" ht="15.75" x14ac:dyDescent="0.25">
      <c r="F75" s="259">
        <v>70</v>
      </c>
      <c r="G75" s="265">
        <v>1322038.0548358597</v>
      </c>
      <c r="I75" s="277">
        <f t="shared" si="3"/>
        <v>1.2987012987012988E-2</v>
      </c>
      <c r="J75" s="275">
        <v>13300000</v>
      </c>
      <c r="K75" s="276">
        <v>13</v>
      </c>
      <c r="L75" s="277">
        <f t="shared" si="4"/>
        <v>0.94505494505494492</v>
      </c>
    </row>
    <row r="76" spans="6:12" ht="15.75" x14ac:dyDescent="0.25">
      <c r="F76" s="259">
        <v>71</v>
      </c>
      <c r="G76" s="265">
        <v>1552465.9259984815</v>
      </c>
      <c r="I76" s="277">
        <f t="shared" si="3"/>
        <v>5.994005994005994E-3</v>
      </c>
      <c r="J76" s="275">
        <v>13400000</v>
      </c>
      <c r="K76" s="276">
        <v>6</v>
      </c>
      <c r="L76" s="277">
        <f t="shared" si="4"/>
        <v>0.95104895104895093</v>
      </c>
    </row>
    <row r="77" spans="6:12" ht="15.75" x14ac:dyDescent="0.25">
      <c r="F77" s="259">
        <v>72</v>
      </c>
      <c r="G77" s="265">
        <v>1719475.9279721668</v>
      </c>
      <c r="I77" s="277">
        <f t="shared" si="3"/>
        <v>7.992007992007992E-3</v>
      </c>
      <c r="J77" s="275">
        <v>13500000</v>
      </c>
      <c r="K77" s="276">
        <v>8</v>
      </c>
      <c r="L77" s="277">
        <f t="shared" si="4"/>
        <v>0.95904095904095887</v>
      </c>
    </row>
    <row r="78" spans="6:12" ht="15.75" x14ac:dyDescent="0.25">
      <c r="F78" s="259">
        <v>73</v>
      </c>
      <c r="G78" s="265">
        <v>1234865.6053303559</v>
      </c>
      <c r="I78" s="277">
        <f t="shared" si="3"/>
        <v>8.9910089910089919E-3</v>
      </c>
      <c r="J78" s="275">
        <v>13600000</v>
      </c>
      <c r="K78" s="276">
        <v>9</v>
      </c>
      <c r="L78" s="277">
        <f t="shared" si="4"/>
        <v>0.96803196803196789</v>
      </c>
    </row>
    <row r="79" spans="6:12" ht="15.75" x14ac:dyDescent="0.25">
      <c r="F79" s="259">
        <v>74</v>
      </c>
      <c r="G79" s="265">
        <v>1997200.8288255953</v>
      </c>
      <c r="I79" s="277">
        <f t="shared" si="3"/>
        <v>7.992007992007992E-3</v>
      </c>
      <c r="J79" s="275">
        <v>13700000</v>
      </c>
      <c r="K79" s="276">
        <v>8</v>
      </c>
      <c r="L79" s="277">
        <f t="shared" si="4"/>
        <v>0.97602397602397584</v>
      </c>
    </row>
    <row r="80" spans="6:12" ht="15.75" x14ac:dyDescent="0.25">
      <c r="F80" s="259">
        <v>75</v>
      </c>
      <c r="G80" s="265">
        <v>1634817.0178618445</v>
      </c>
      <c r="I80" s="277">
        <f t="shared" si="3"/>
        <v>4.995004995004995E-3</v>
      </c>
      <c r="J80" s="275">
        <v>13800000</v>
      </c>
      <c r="K80" s="276">
        <v>5</v>
      </c>
      <c r="L80" s="277">
        <f t="shared" si="4"/>
        <v>0.98101898101898088</v>
      </c>
    </row>
    <row r="81" spans="6:12" ht="15.75" x14ac:dyDescent="0.25">
      <c r="F81" s="259">
        <v>76</v>
      </c>
      <c r="G81" s="265">
        <v>1147645.8149879198</v>
      </c>
      <c r="I81" s="277">
        <f t="shared" si="3"/>
        <v>1.998001998001998E-3</v>
      </c>
      <c r="J81" s="275">
        <v>13900000</v>
      </c>
      <c r="K81" s="276">
        <v>2</v>
      </c>
      <c r="L81" s="277">
        <f t="shared" si="4"/>
        <v>0.98301698301698293</v>
      </c>
    </row>
    <row r="82" spans="6:12" ht="15.75" x14ac:dyDescent="0.25">
      <c r="F82" s="259">
        <v>77</v>
      </c>
      <c r="G82" s="265">
        <v>1564968.3652959932</v>
      </c>
      <c r="I82" s="277">
        <f t="shared" si="3"/>
        <v>1.998001998001998E-3</v>
      </c>
      <c r="J82" s="275">
        <v>14000000</v>
      </c>
      <c r="K82" s="276">
        <v>2</v>
      </c>
      <c r="L82" s="277">
        <f t="shared" si="4"/>
        <v>0.98501498501498497</v>
      </c>
    </row>
    <row r="83" spans="6:12" ht="15.75" x14ac:dyDescent="0.25">
      <c r="F83" s="259">
        <v>78</v>
      </c>
      <c r="G83" s="265">
        <v>1044101.0230401019</v>
      </c>
      <c r="I83" s="277">
        <f t="shared" si="3"/>
        <v>1.998001998001998E-3</v>
      </c>
      <c r="J83" s="275">
        <v>14100000</v>
      </c>
      <c r="K83" s="276">
        <v>2</v>
      </c>
      <c r="L83" s="277">
        <f t="shared" si="4"/>
        <v>0.98701298701298701</v>
      </c>
    </row>
    <row r="84" spans="6:12" ht="15.75" x14ac:dyDescent="0.25">
      <c r="F84" s="259">
        <v>79</v>
      </c>
      <c r="G84" s="265">
        <v>1246011.6808782471</v>
      </c>
      <c r="I84" s="277">
        <f t="shared" si="3"/>
        <v>2.997002997002997E-3</v>
      </c>
      <c r="J84" s="275">
        <v>14200000</v>
      </c>
      <c r="K84" s="276">
        <v>3</v>
      </c>
      <c r="L84" s="277">
        <f t="shared" si="4"/>
        <v>0.99000999000999002</v>
      </c>
    </row>
    <row r="85" spans="6:12" ht="15.75" x14ac:dyDescent="0.25">
      <c r="F85" s="259">
        <v>80</v>
      </c>
      <c r="G85" s="265">
        <v>1587307.8572287085</v>
      </c>
      <c r="I85" s="277">
        <f t="shared" si="3"/>
        <v>9.99000999000999E-4</v>
      </c>
      <c r="J85" s="275">
        <v>14300000</v>
      </c>
      <c r="K85" s="276">
        <v>1</v>
      </c>
      <c r="L85" s="277">
        <f t="shared" si="4"/>
        <v>0.99100899100899098</v>
      </c>
    </row>
    <row r="86" spans="6:12" ht="15.75" x14ac:dyDescent="0.25">
      <c r="F86" s="259">
        <v>81</v>
      </c>
      <c r="G86" s="265">
        <v>869708.7831921624</v>
      </c>
      <c r="I86" s="277">
        <f t="shared" si="3"/>
        <v>1.998001998001998E-3</v>
      </c>
      <c r="J86" s="275">
        <v>14400000</v>
      </c>
      <c r="K86" s="276">
        <v>2</v>
      </c>
      <c r="L86" s="277">
        <f t="shared" si="4"/>
        <v>0.99300699300699302</v>
      </c>
    </row>
    <row r="87" spans="6:12" ht="15.75" x14ac:dyDescent="0.25">
      <c r="F87" s="259">
        <v>82</v>
      </c>
      <c r="G87" s="265">
        <v>1222363.1660328438</v>
      </c>
      <c r="I87" s="277">
        <f t="shared" si="3"/>
        <v>9.99000999000999E-4</v>
      </c>
      <c r="J87" s="275">
        <v>14500000</v>
      </c>
      <c r="K87" s="276">
        <v>1</v>
      </c>
      <c r="L87" s="277">
        <f t="shared" si="4"/>
        <v>0.99400599400599399</v>
      </c>
    </row>
    <row r="88" spans="6:12" ht="15.75" x14ac:dyDescent="0.25">
      <c r="F88" s="259">
        <v>83</v>
      </c>
      <c r="G88" s="265">
        <v>1091610.1836732384</v>
      </c>
      <c r="I88" s="277">
        <f t="shared" si="3"/>
        <v>9.99000999000999E-4</v>
      </c>
      <c r="J88" s="275">
        <v>14600000</v>
      </c>
      <c r="K88" s="276">
        <v>1</v>
      </c>
      <c r="L88" s="277">
        <f t="shared" si="4"/>
        <v>0.99500499500499495</v>
      </c>
    </row>
    <row r="89" spans="6:12" ht="15.75" x14ac:dyDescent="0.25">
      <c r="F89" s="259">
        <v>84</v>
      </c>
      <c r="G89" s="265">
        <v>1786657.6348347403</v>
      </c>
      <c r="I89" s="277">
        <f t="shared" si="3"/>
        <v>9.99000999000999E-4</v>
      </c>
      <c r="J89" s="275">
        <v>14700000</v>
      </c>
      <c r="K89" s="276">
        <v>1</v>
      </c>
      <c r="L89" s="277">
        <f t="shared" si="4"/>
        <v>0.99600399600399592</v>
      </c>
    </row>
    <row r="90" spans="6:12" ht="15.75" x14ac:dyDescent="0.25">
      <c r="F90" s="259">
        <v>85</v>
      </c>
      <c r="G90" s="265">
        <v>1706973.4886746551</v>
      </c>
      <c r="I90" s="277">
        <f t="shared" si="3"/>
        <v>2.997002997002997E-3</v>
      </c>
      <c r="J90" s="275">
        <v>14800000</v>
      </c>
      <c r="K90" s="276">
        <v>3</v>
      </c>
      <c r="L90" s="277">
        <f t="shared" si="4"/>
        <v>0.99900099900099892</v>
      </c>
    </row>
    <row r="91" spans="6:12" ht="15.75" x14ac:dyDescent="0.25">
      <c r="F91" s="259">
        <v>86</v>
      </c>
      <c r="G91" s="265">
        <v>1630947.1147170421</v>
      </c>
      <c r="I91" s="277">
        <f t="shared" si="3"/>
        <v>0</v>
      </c>
      <c r="J91" s="275">
        <v>14900000</v>
      </c>
      <c r="K91" s="276">
        <v>0</v>
      </c>
      <c r="L91" s="277">
        <f t="shared" si="4"/>
        <v>0.99900099900099892</v>
      </c>
    </row>
    <row r="92" spans="6:12" ht="15.75" x14ac:dyDescent="0.25">
      <c r="F92" s="259">
        <v>87</v>
      </c>
      <c r="G92" s="265">
        <v>1400519.2435544208</v>
      </c>
      <c r="I92" s="277">
        <f t="shared" si="3"/>
        <v>9.99000999000999E-4</v>
      </c>
      <c r="J92" s="275">
        <v>15000000</v>
      </c>
      <c r="K92" s="276">
        <v>1</v>
      </c>
      <c r="L92" s="277">
        <f t="shared" si="4"/>
        <v>0.99999999999999989</v>
      </c>
    </row>
    <row r="93" spans="6:12" ht="16.5" thickBot="1" x14ac:dyDescent="0.3">
      <c r="F93" s="259">
        <v>88</v>
      </c>
      <c r="G93" s="265">
        <v>1885129.5661962316</v>
      </c>
      <c r="I93" s="277">
        <f t="shared" si="3"/>
        <v>0</v>
      </c>
      <c r="J93" s="279" t="s">
        <v>150</v>
      </c>
      <c r="K93" s="278">
        <v>0</v>
      </c>
      <c r="L93" s="277">
        <f t="shared" si="4"/>
        <v>0.99999999999999989</v>
      </c>
    </row>
    <row r="94" spans="6:12" x14ac:dyDescent="0.25">
      <c r="F94" s="259">
        <v>89</v>
      </c>
      <c r="G94" s="265">
        <v>1576114.4408438844</v>
      </c>
    </row>
    <row r="95" spans="6:12" x14ac:dyDescent="0.25">
      <c r="F95" s="259">
        <v>90</v>
      </c>
      <c r="G95" s="265">
        <v>1564968.3652959932</v>
      </c>
    </row>
    <row r="96" spans="6:12" x14ac:dyDescent="0.25">
      <c r="F96" s="259">
        <v>91</v>
      </c>
      <c r="G96" s="265">
        <v>1222363.1660328438</v>
      </c>
    </row>
    <row r="97" spans="6:7" x14ac:dyDescent="0.25">
      <c r="F97" s="259">
        <v>92</v>
      </c>
      <c r="G97" s="265">
        <v>1219802.2858007308</v>
      </c>
    </row>
    <row r="98" spans="6:7" x14ac:dyDescent="0.25">
      <c r="F98" s="259">
        <v>93</v>
      </c>
      <c r="G98" s="265">
        <v>559596.76586945541</v>
      </c>
    </row>
    <row r="99" spans="6:7" x14ac:dyDescent="0.25">
      <c r="F99" s="259">
        <v>94</v>
      </c>
      <c r="G99" s="265">
        <v>1819044.7513040178</v>
      </c>
    </row>
    <row r="100" spans="6:7" x14ac:dyDescent="0.25">
      <c r="F100" s="259">
        <v>95</v>
      </c>
      <c r="G100" s="265">
        <v>991935.29487022222</v>
      </c>
    </row>
    <row r="101" spans="6:7" x14ac:dyDescent="0.25">
      <c r="F101" s="259">
        <v>96</v>
      </c>
      <c r="G101" s="265">
        <v>937102.62099706451</v>
      </c>
    </row>
    <row r="102" spans="6:7" x14ac:dyDescent="0.25">
      <c r="F102" s="259">
        <v>97</v>
      </c>
      <c r="G102" s="265">
        <v>1170091.372391799</v>
      </c>
    </row>
    <row r="103" spans="6:7" x14ac:dyDescent="0.25">
      <c r="F103" s="259">
        <v>98</v>
      </c>
      <c r="G103" s="265">
        <v>1047970.9261849038</v>
      </c>
    </row>
    <row r="104" spans="6:7" x14ac:dyDescent="0.25">
      <c r="F104" s="259">
        <v>99</v>
      </c>
      <c r="G104" s="265">
        <v>893463.36350872996</v>
      </c>
    </row>
    <row r="105" spans="6:7" x14ac:dyDescent="0.25">
      <c r="F105" s="259">
        <v>100</v>
      </c>
      <c r="G105" s="265">
        <v>1199917.6086289641</v>
      </c>
    </row>
    <row r="106" spans="6:7" x14ac:dyDescent="0.25">
      <c r="F106" s="259">
        <v>101</v>
      </c>
      <c r="G106" s="265">
        <v>1234759.5398591915</v>
      </c>
    </row>
    <row r="107" spans="6:7" x14ac:dyDescent="0.25">
      <c r="F107" s="259">
        <v>102</v>
      </c>
      <c r="G107" s="265">
        <v>968180.71455365419</v>
      </c>
    </row>
    <row r="108" spans="6:7" x14ac:dyDescent="0.25">
      <c r="F108" s="259">
        <v>103</v>
      </c>
      <c r="G108" s="265">
        <v>1024216.3458683363</v>
      </c>
    </row>
    <row r="109" spans="6:7" x14ac:dyDescent="0.25">
      <c r="F109" s="259">
        <v>104</v>
      </c>
      <c r="G109" s="265">
        <v>1147645.8149879198</v>
      </c>
    </row>
    <row r="110" spans="6:7" x14ac:dyDescent="0.25">
      <c r="F110" s="259">
        <v>105</v>
      </c>
      <c r="G110" s="265">
        <v>1132523.7708240617</v>
      </c>
    </row>
    <row r="111" spans="6:7" x14ac:dyDescent="0.25">
      <c r="F111" s="259">
        <v>106</v>
      </c>
      <c r="G111" s="265">
        <v>2095672.7601870876</v>
      </c>
    </row>
    <row r="112" spans="6:7" x14ac:dyDescent="0.25">
      <c r="F112" s="259">
        <v>107</v>
      </c>
      <c r="G112" s="265">
        <v>1170091.372391799</v>
      </c>
    </row>
    <row r="113" spans="6:7" x14ac:dyDescent="0.25">
      <c r="F113" s="259">
        <v>108</v>
      </c>
      <c r="G113" s="265">
        <v>1180032.9314571982</v>
      </c>
    </row>
    <row r="114" spans="6:7" x14ac:dyDescent="0.25">
      <c r="F114" s="259">
        <v>109</v>
      </c>
      <c r="G114" s="265">
        <v>1556229.7636721185</v>
      </c>
    </row>
    <row r="115" spans="6:7" x14ac:dyDescent="0.25">
      <c r="F115" s="259">
        <v>110</v>
      </c>
      <c r="G115" s="265">
        <v>1917516.6826655101</v>
      </c>
    </row>
    <row r="116" spans="6:7" x14ac:dyDescent="0.25">
      <c r="F116" s="259">
        <v>111</v>
      </c>
      <c r="G116" s="265">
        <v>1795396.2364586149</v>
      </c>
    </row>
    <row r="117" spans="6:7" x14ac:dyDescent="0.25">
      <c r="F117" s="259">
        <v>112</v>
      </c>
      <c r="G117" s="265">
        <v>1067961.6688278345</v>
      </c>
    </row>
    <row r="118" spans="6:7" x14ac:dyDescent="0.25">
      <c r="F118" s="259">
        <v>113</v>
      </c>
      <c r="G118" s="265">
        <v>1643343.4885433894</v>
      </c>
    </row>
    <row r="119" spans="6:7" x14ac:dyDescent="0.25">
      <c r="F119" s="259">
        <v>114</v>
      </c>
      <c r="G119" s="265">
        <v>865944.94551852485</v>
      </c>
    </row>
    <row r="120" spans="6:7" x14ac:dyDescent="0.25">
      <c r="F120" s="259">
        <v>115</v>
      </c>
      <c r="G120" s="265">
        <v>1067749.5378855052</v>
      </c>
    </row>
    <row r="121" spans="6:7" x14ac:dyDescent="0.25">
      <c r="F121" s="259">
        <v>116</v>
      </c>
      <c r="G121" s="265">
        <v>761401.35823643603</v>
      </c>
    </row>
    <row r="122" spans="6:7" x14ac:dyDescent="0.25">
      <c r="F122" s="259">
        <v>117</v>
      </c>
      <c r="G122" s="265">
        <v>968180.71455365419</v>
      </c>
    </row>
    <row r="123" spans="6:7" x14ac:dyDescent="0.25">
      <c r="F123" s="259">
        <v>118</v>
      </c>
      <c r="G123" s="265">
        <v>793788.47470571427</v>
      </c>
    </row>
    <row r="124" spans="6:7" x14ac:dyDescent="0.25">
      <c r="F124" s="259">
        <v>119</v>
      </c>
      <c r="G124" s="265">
        <v>1591177.76037351</v>
      </c>
    </row>
    <row r="125" spans="6:7" x14ac:dyDescent="0.25">
      <c r="F125" s="259">
        <v>120</v>
      </c>
      <c r="G125" s="265">
        <v>2306215.9541779426</v>
      </c>
    </row>
    <row r="126" spans="6:7" x14ac:dyDescent="0.25">
      <c r="F126" s="259">
        <v>121</v>
      </c>
      <c r="G126" s="265">
        <v>737752.84339103266</v>
      </c>
    </row>
    <row r="127" spans="6:7" x14ac:dyDescent="0.25">
      <c r="F127" s="259">
        <v>122</v>
      </c>
      <c r="G127" s="265">
        <v>1044101.0230401019</v>
      </c>
    </row>
    <row r="128" spans="6:7" x14ac:dyDescent="0.25">
      <c r="F128" s="259">
        <v>123</v>
      </c>
      <c r="G128" s="265">
        <v>1500194.1323574367</v>
      </c>
    </row>
    <row r="129" spans="6:7" x14ac:dyDescent="0.25">
      <c r="F129" s="259">
        <v>124</v>
      </c>
      <c r="G129" s="265">
        <v>1564862.2998248283</v>
      </c>
    </row>
    <row r="130" spans="6:7" x14ac:dyDescent="0.25">
      <c r="F130" s="259">
        <v>125</v>
      </c>
      <c r="G130" s="265">
        <v>1274634.9596738881</v>
      </c>
    </row>
    <row r="131" spans="6:7" x14ac:dyDescent="0.25">
      <c r="F131" s="259">
        <v>126</v>
      </c>
      <c r="G131" s="265">
        <v>790024.63703207718</v>
      </c>
    </row>
    <row r="132" spans="6:7" x14ac:dyDescent="0.25">
      <c r="F132" s="259">
        <v>127</v>
      </c>
      <c r="G132" s="265">
        <v>1330670.5909885699</v>
      </c>
    </row>
    <row r="133" spans="6:7" x14ac:dyDescent="0.25">
      <c r="F133" s="259">
        <v>128</v>
      </c>
      <c r="G133" s="265">
        <v>1710737.3263482922</v>
      </c>
    </row>
    <row r="134" spans="6:7" x14ac:dyDescent="0.25">
      <c r="F134" s="259">
        <v>129</v>
      </c>
      <c r="G134" s="265">
        <v>1302153.3776640934</v>
      </c>
    </row>
    <row r="135" spans="6:7" x14ac:dyDescent="0.25">
      <c r="F135" s="259">
        <v>130</v>
      </c>
      <c r="G135" s="265">
        <v>1452791.0371954651</v>
      </c>
    </row>
    <row r="136" spans="6:7" x14ac:dyDescent="0.25">
      <c r="F136" s="259">
        <v>131</v>
      </c>
      <c r="G136" s="265">
        <v>1719369.8625010019</v>
      </c>
    </row>
    <row r="137" spans="6:7" x14ac:dyDescent="0.25">
      <c r="F137" s="259">
        <v>132</v>
      </c>
      <c r="G137" s="265">
        <v>1512696.5716549484</v>
      </c>
    </row>
    <row r="138" spans="6:7" x14ac:dyDescent="0.25">
      <c r="F138" s="259">
        <v>133</v>
      </c>
      <c r="G138" s="265">
        <v>761401.35823643603</v>
      </c>
    </row>
    <row r="139" spans="6:7" x14ac:dyDescent="0.25">
      <c r="F139" s="259">
        <v>134</v>
      </c>
      <c r="G139" s="265">
        <v>1643343.4885433894</v>
      </c>
    </row>
    <row r="140" spans="6:7" x14ac:dyDescent="0.25">
      <c r="F140" s="259">
        <v>135</v>
      </c>
      <c r="G140" s="265">
        <v>1056603.462337614</v>
      </c>
    </row>
    <row r="141" spans="6:7" x14ac:dyDescent="0.25">
      <c r="F141" s="259">
        <v>136</v>
      </c>
      <c r="G141" s="265">
        <v>1389267.1025353647</v>
      </c>
    </row>
    <row r="142" spans="6:7" x14ac:dyDescent="0.25">
      <c r="F142" s="259">
        <v>137</v>
      </c>
      <c r="G142" s="265">
        <v>1167530.4921596861</v>
      </c>
    </row>
    <row r="143" spans="6:7" x14ac:dyDescent="0.25">
      <c r="F143" s="259">
        <v>138</v>
      </c>
      <c r="G143" s="265">
        <v>1719475.9279721668</v>
      </c>
    </row>
    <row r="144" spans="6:7" x14ac:dyDescent="0.25">
      <c r="F144" s="259">
        <v>139</v>
      </c>
      <c r="G144" s="265">
        <v>1532475.1833555503</v>
      </c>
    </row>
    <row r="145" spans="6:7" x14ac:dyDescent="0.25">
      <c r="F145" s="259">
        <v>140</v>
      </c>
      <c r="G145" s="265">
        <v>1797851.0512195635</v>
      </c>
    </row>
    <row r="146" spans="6:7" x14ac:dyDescent="0.25">
      <c r="F146" s="259">
        <v>141</v>
      </c>
      <c r="G146" s="265">
        <v>481009.51167972991</v>
      </c>
    </row>
    <row r="147" spans="6:7" x14ac:dyDescent="0.25">
      <c r="F147" s="259">
        <v>142</v>
      </c>
      <c r="G147" s="265">
        <v>2151708.391501769</v>
      </c>
    </row>
    <row r="148" spans="6:7" x14ac:dyDescent="0.25">
      <c r="F148" s="259">
        <v>143</v>
      </c>
      <c r="G148" s="265">
        <v>1199917.6086289641</v>
      </c>
    </row>
    <row r="149" spans="6:7" x14ac:dyDescent="0.25">
      <c r="F149" s="259">
        <v>144</v>
      </c>
      <c r="G149" s="265">
        <v>846060.26834675879</v>
      </c>
    </row>
    <row r="150" spans="6:7" x14ac:dyDescent="0.25">
      <c r="F150" s="259">
        <v>145</v>
      </c>
      <c r="G150" s="265">
        <v>1441538.896176409</v>
      </c>
    </row>
    <row r="151" spans="6:7" x14ac:dyDescent="0.25">
      <c r="F151" s="259">
        <v>146</v>
      </c>
      <c r="G151" s="265">
        <v>980683.15385116637</v>
      </c>
    </row>
    <row r="152" spans="6:7" x14ac:dyDescent="0.25">
      <c r="F152" s="259">
        <v>147</v>
      </c>
      <c r="G152" s="265">
        <v>639280.91202954063</v>
      </c>
    </row>
    <row r="153" spans="6:7" x14ac:dyDescent="0.25">
      <c r="F153" s="259">
        <v>148</v>
      </c>
      <c r="G153" s="265">
        <v>813779.21734864498</v>
      </c>
    </row>
    <row r="154" spans="6:7" x14ac:dyDescent="0.25">
      <c r="F154" s="259">
        <v>149</v>
      </c>
      <c r="G154" s="265">
        <v>1897632.0054937438</v>
      </c>
    </row>
    <row r="155" spans="6:7" x14ac:dyDescent="0.25">
      <c r="F155" s="259">
        <v>150</v>
      </c>
      <c r="G155" s="265">
        <v>735191.96315891924</v>
      </c>
    </row>
    <row r="156" spans="6:7" x14ac:dyDescent="0.25">
      <c r="F156" s="259">
        <v>151</v>
      </c>
      <c r="G156" s="265">
        <v>2306215.9541779426</v>
      </c>
    </row>
    <row r="157" spans="6:7" x14ac:dyDescent="0.25">
      <c r="F157" s="259">
        <v>152</v>
      </c>
      <c r="G157" s="265">
        <v>1763009.1199893365</v>
      </c>
    </row>
    <row r="158" spans="6:7" x14ac:dyDescent="0.25">
      <c r="F158" s="259">
        <v>153</v>
      </c>
      <c r="G158" s="265">
        <v>1330670.5909885699</v>
      </c>
    </row>
    <row r="159" spans="6:7" x14ac:dyDescent="0.25">
      <c r="F159" s="259">
        <v>154</v>
      </c>
      <c r="G159" s="265">
        <v>481009.51167972991</v>
      </c>
    </row>
    <row r="160" spans="6:7" x14ac:dyDescent="0.25">
      <c r="F160" s="259">
        <v>155</v>
      </c>
      <c r="G160" s="265">
        <v>1432906.3600236992</v>
      </c>
    </row>
    <row r="161" spans="6:7" x14ac:dyDescent="0.25">
      <c r="F161" s="259">
        <v>156</v>
      </c>
      <c r="G161" s="265">
        <v>1080358.0426541818</v>
      </c>
    </row>
    <row r="162" spans="6:7" x14ac:dyDescent="0.25">
      <c r="F162" s="259">
        <v>157</v>
      </c>
      <c r="G162" s="265">
        <v>1321931.9893646948</v>
      </c>
    </row>
    <row r="163" spans="6:7" x14ac:dyDescent="0.25">
      <c r="F163" s="259">
        <v>158</v>
      </c>
      <c r="G163" s="265">
        <v>1202478.4888610775</v>
      </c>
    </row>
    <row r="164" spans="6:7" x14ac:dyDescent="0.25">
      <c r="F164" s="259">
        <v>159</v>
      </c>
      <c r="G164" s="265">
        <v>1298283.4745192914</v>
      </c>
    </row>
    <row r="165" spans="6:7" x14ac:dyDescent="0.25">
      <c r="F165" s="259">
        <v>160</v>
      </c>
      <c r="G165" s="265">
        <v>1282162.6350211627</v>
      </c>
    </row>
    <row r="166" spans="6:7" x14ac:dyDescent="0.25">
      <c r="F166" s="259">
        <v>161</v>
      </c>
      <c r="G166" s="265">
        <v>1067855.6033566697</v>
      </c>
    </row>
    <row r="167" spans="6:7" x14ac:dyDescent="0.25">
      <c r="F167" s="259">
        <v>162</v>
      </c>
      <c r="G167" s="265">
        <v>1400519.2435544208</v>
      </c>
    </row>
    <row r="168" spans="6:7" x14ac:dyDescent="0.25">
      <c r="F168" s="259">
        <v>163</v>
      </c>
      <c r="G168" s="265">
        <v>1158839.2313727429</v>
      </c>
    </row>
    <row r="169" spans="6:7" x14ac:dyDescent="0.25">
      <c r="F169" s="259">
        <v>164</v>
      </c>
      <c r="G169" s="265">
        <v>1643449.5540145542</v>
      </c>
    </row>
    <row r="170" spans="6:7" x14ac:dyDescent="0.25">
      <c r="F170" s="259">
        <v>165</v>
      </c>
      <c r="G170" s="265">
        <v>1480309.4551856709</v>
      </c>
    </row>
    <row r="171" spans="6:7" x14ac:dyDescent="0.25">
      <c r="F171" s="259">
        <v>166</v>
      </c>
      <c r="G171" s="265">
        <v>1167530.4921596861</v>
      </c>
    </row>
    <row r="172" spans="6:7" x14ac:dyDescent="0.25">
      <c r="F172" s="259">
        <v>167</v>
      </c>
      <c r="G172" s="265">
        <v>965619.83432154101</v>
      </c>
    </row>
    <row r="173" spans="6:7" x14ac:dyDescent="0.25">
      <c r="F173" s="259">
        <v>168</v>
      </c>
      <c r="G173" s="265">
        <v>737752.84339103266</v>
      </c>
    </row>
    <row r="174" spans="6:7" x14ac:dyDescent="0.25">
      <c r="F174" s="259">
        <v>169</v>
      </c>
      <c r="G174" s="265">
        <v>1027980.1835419729</v>
      </c>
    </row>
    <row r="175" spans="6:7" x14ac:dyDescent="0.25">
      <c r="F175" s="259">
        <v>170</v>
      </c>
      <c r="G175" s="265">
        <v>989374.41463810904</v>
      </c>
    </row>
    <row r="176" spans="6:7" x14ac:dyDescent="0.25">
      <c r="F176" s="259">
        <v>171</v>
      </c>
      <c r="G176" s="265">
        <v>1091504.1182020735</v>
      </c>
    </row>
    <row r="177" spans="6:7" x14ac:dyDescent="0.25">
      <c r="F177" s="259">
        <v>172</v>
      </c>
      <c r="G177" s="265">
        <v>1067961.6688278345</v>
      </c>
    </row>
    <row r="178" spans="6:7" x14ac:dyDescent="0.25">
      <c r="F178" s="259">
        <v>173</v>
      </c>
      <c r="G178" s="265">
        <v>1456554.8748691021</v>
      </c>
    </row>
    <row r="179" spans="6:7" x14ac:dyDescent="0.25">
      <c r="F179" s="259">
        <v>174</v>
      </c>
      <c r="G179" s="265">
        <v>1528817.4111530776</v>
      </c>
    </row>
    <row r="180" spans="6:7" x14ac:dyDescent="0.25">
      <c r="F180" s="259">
        <v>175</v>
      </c>
      <c r="G180" s="265">
        <v>2052033.502698753</v>
      </c>
    </row>
    <row r="181" spans="6:7" x14ac:dyDescent="0.25">
      <c r="F181" s="259">
        <v>176</v>
      </c>
      <c r="G181" s="265">
        <v>1376764.6632378525</v>
      </c>
    </row>
    <row r="182" spans="6:7" x14ac:dyDescent="0.25">
      <c r="F182" s="259">
        <v>177</v>
      </c>
      <c r="G182" s="265">
        <v>813779.21734864498</v>
      </c>
    </row>
    <row r="183" spans="6:7" x14ac:dyDescent="0.25">
      <c r="F183" s="259">
        <v>178</v>
      </c>
      <c r="G183" s="265">
        <v>793788.47470571427</v>
      </c>
    </row>
    <row r="184" spans="6:7" x14ac:dyDescent="0.25">
      <c r="F184" s="259">
        <v>179</v>
      </c>
      <c r="G184" s="265">
        <v>1302047.3121929285</v>
      </c>
    </row>
    <row r="185" spans="6:7" x14ac:dyDescent="0.25">
      <c r="F185" s="259">
        <v>180</v>
      </c>
      <c r="G185" s="265">
        <v>1123891.234671352</v>
      </c>
    </row>
    <row r="186" spans="6:7" x14ac:dyDescent="0.25">
      <c r="F186" s="259">
        <v>181</v>
      </c>
      <c r="G186" s="265">
        <v>761401.35823643603</v>
      </c>
    </row>
    <row r="187" spans="6:7" x14ac:dyDescent="0.25">
      <c r="F187" s="259">
        <v>182</v>
      </c>
      <c r="G187" s="265">
        <v>1091610.1836732384</v>
      </c>
    </row>
    <row r="188" spans="6:7" x14ac:dyDescent="0.25">
      <c r="F188" s="259">
        <v>183</v>
      </c>
      <c r="G188" s="265">
        <v>837321.66672288394</v>
      </c>
    </row>
    <row r="189" spans="6:7" x14ac:dyDescent="0.25">
      <c r="F189" s="259">
        <v>184</v>
      </c>
      <c r="G189" s="265">
        <v>1412915.6173807676</v>
      </c>
    </row>
    <row r="190" spans="6:7" x14ac:dyDescent="0.25">
      <c r="F190" s="259">
        <v>185</v>
      </c>
      <c r="G190" s="265">
        <v>991829.22939905757</v>
      </c>
    </row>
    <row r="191" spans="6:7" x14ac:dyDescent="0.25">
      <c r="F191" s="259">
        <v>186</v>
      </c>
      <c r="G191" s="265">
        <v>659165.58920130669</v>
      </c>
    </row>
    <row r="192" spans="6:7" x14ac:dyDescent="0.25">
      <c r="F192" s="259">
        <v>187</v>
      </c>
      <c r="G192" s="265">
        <v>1512696.5716549484</v>
      </c>
    </row>
    <row r="193" spans="6:7" x14ac:dyDescent="0.25">
      <c r="F193" s="259">
        <v>188</v>
      </c>
      <c r="G193" s="265">
        <v>1432800.2945525344</v>
      </c>
    </row>
    <row r="194" spans="6:7" x14ac:dyDescent="0.25">
      <c r="F194" s="259">
        <v>189</v>
      </c>
      <c r="G194" s="265">
        <v>1397958.3633223078</v>
      </c>
    </row>
    <row r="195" spans="6:7" x14ac:dyDescent="0.25">
      <c r="F195" s="259">
        <v>190</v>
      </c>
      <c r="G195" s="265">
        <v>1024216.3458683363</v>
      </c>
    </row>
    <row r="196" spans="6:7" x14ac:dyDescent="0.25">
      <c r="F196" s="259">
        <v>191</v>
      </c>
      <c r="G196" s="265">
        <v>735191.96315891924</v>
      </c>
    </row>
    <row r="197" spans="6:7" x14ac:dyDescent="0.25">
      <c r="F197" s="259">
        <v>192</v>
      </c>
      <c r="G197" s="265">
        <v>1278292.7318763612</v>
      </c>
    </row>
    <row r="198" spans="6:7" x14ac:dyDescent="0.25">
      <c r="F198" s="259">
        <v>193</v>
      </c>
      <c r="G198" s="265">
        <v>2075788.0830153208</v>
      </c>
    </row>
    <row r="199" spans="6:7" x14ac:dyDescent="0.25">
      <c r="F199" s="259">
        <v>194</v>
      </c>
      <c r="G199" s="265">
        <v>1397958.3633223078</v>
      </c>
    </row>
    <row r="200" spans="6:7" x14ac:dyDescent="0.25">
      <c r="F200" s="259">
        <v>195</v>
      </c>
      <c r="G200" s="265">
        <v>1234865.6053303559</v>
      </c>
    </row>
    <row r="201" spans="6:7" x14ac:dyDescent="0.25">
      <c r="F201" s="259">
        <v>196</v>
      </c>
      <c r="G201" s="265">
        <v>1044207.0885112667</v>
      </c>
    </row>
    <row r="202" spans="6:7" x14ac:dyDescent="0.25">
      <c r="F202" s="259">
        <v>197</v>
      </c>
      <c r="G202" s="265">
        <v>1044207.0885112667</v>
      </c>
    </row>
    <row r="203" spans="6:7" x14ac:dyDescent="0.25">
      <c r="F203" s="259">
        <v>198</v>
      </c>
      <c r="G203" s="265">
        <v>1432800.2945525344</v>
      </c>
    </row>
    <row r="204" spans="6:7" x14ac:dyDescent="0.25">
      <c r="F204" s="259">
        <v>199</v>
      </c>
      <c r="G204" s="265">
        <v>1126452.1149034649</v>
      </c>
    </row>
    <row r="205" spans="6:7" x14ac:dyDescent="0.25">
      <c r="F205" s="259">
        <v>200</v>
      </c>
      <c r="G205" s="265">
        <v>869708.7831921624</v>
      </c>
    </row>
    <row r="206" spans="6:7" x14ac:dyDescent="0.25">
      <c r="F206" s="259">
        <v>201</v>
      </c>
      <c r="G206" s="265">
        <v>1202372.4233899126</v>
      </c>
    </row>
    <row r="207" spans="6:7" x14ac:dyDescent="0.25">
      <c r="F207" s="259">
        <v>202</v>
      </c>
      <c r="G207" s="265">
        <v>761401.35823643603</v>
      </c>
    </row>
    <row r="208" spans="6:7" x14ac:dyDescent="0.25">
      <c r="F208" s="259">
        <v>203</v>
      </c>
      <c r="G208" s="265">
        <v>1004331.6686965697</v>
      </c>
    </row>
    <row r="209" spans="6:7" x14ac:dyDescent="0.25">
      <c r="F209" s="259">
        <v>204</v>
      </c>
      <c r="G209" s="265">
        <v>606893.79556026217</v>
      </c>
    </row>
    <row r="210" spans="6:7" x14ac:dyDescent="0.25">
      <c r="F210" s="259">
        <v>205</v>
      </c>
      <c r="G210" s="265">
        <v>1432800.2945525344</v>
      </c>
    </row>
    <row r="211" spans="6:7" x14ac:dyDescent="0.25">
      <c r="F211" s="259">
        <v>206</v>
      </c>
      <c r="G211" s="265">
        <v>1430345.4797915858</v>
      </c>
    </row>
    <row r="212" spans="6:7" x14ac:dyDescent="0.25">
      <c r="F212" s="259">
        <v>207</v>
      </c>
      <c r="G212" s="265">
        <v>1997200.8288255953</v>
      </c>
    </row>
    <row r="213" spans="6:7" x14ac:dyDescent="0.25">
      <c r="F213" s="259">
        <v>208</v>
      </c>
      <c r="G213" s="265">
        <v>1126452.1149034649</v>
      </c>
    </row>
    <row r="214" spans="6:7" x14ac:dyDescent="0.25">
      <c r="F214" s="259">
        <v>209</v>
      </c>
      <c r="G214" s="265">
        <v>1619694.9736979865</v>
      </c>
    </row>
    <row r="215" spans="6:7" x14ac:dyDescent="0.25">
      <c r="F215" s="259">
        <v>210</v>
      </c>
      <c r="G215" s="265">
        <v>893463.36350872996</v>
      </c>
    </row>
    <row r="216" spans="6:7" x14ac:dyDescent="0.25">
      <c r="F216" s="259">
        <v>211</v>
      </c>
      <c r="G216" s="265">
        <v>1917516.6826655101</v>
      </c>
    </row>
    <row r="217" spans="6:7" x14ac:dyDescent="0.25">
      <c r="F217" s="259">
        <v>212</v>
      </c>
      <c r="G217" s="265">
        <v>1336995.3088943199</v>
      </c>
    </row>
    <row r="218" spans="6:7" x14ac:dyDescent="0.25">
      <c r="F218" s="259">
        <v>213</v>
      </c>
      <c r="G218" s="265">
        <v>1182487.7462181468</v>
      </c>
    </row>
    <row r="219" spans="6:7" x14ac:dyDescent="0.25">
      <c r="F219" s="259">
        <v>214</v>
      </c>
      <c r="G219" s="265">
        <v>1436670.1976973363</v>
      </c>
    </row>
    <row r="220" spans="6:7" x14ac:dyDescent="0.25">
      <c r="F220" s="259">
        <v>215</v>
      </c>
      <c r="G220" s="265">
        <v>615632.39718413749</v>
      </c>
    </row>
    <row r="221" spans="6:7" x14ac:dyDescent="0.25">
      <c r="F221" s="259">
        <v>216</v>
      </c>
      <c r="G221" s="265">
        <v>1015583.8097156254</v>
      </c>
    </row>
    <row r="222" spans="6:7" x14ac:dyDescent="0.25">
      <c r="F222" s="259">
        <v>217</v>
      </c>
      <c r="G222" s="265">
        <v>1126452.1149034649</v>
      </c>
    </row>
    <row r="223" spans="6:7" x14ac:dyDescent="0.25">
      <c r="F223" s="259">
        <v>218</v>
      </c>
      <c r="G223" s="265">
        <v>1044207.0885112667</v>
      </c>
    </row>
    <row r="224" spans="6:7" x14ac:dyDescent="0.25">
      <c r="F224" s="259">
        <v>219</v>
      </c>
      <c r="G224" s="265">
        <v>1080358.0426541818</v>
      </c>
    </row>
    <row r="225" spans="6:7" x14ac:dyDescent="0.25">
      <c r="F225" s="259">
        <v>220</v>
      </c>
      <c r="G225" s="265">
        <v>1080358.0426541818</v>
      </c>
    </row>
    <row r="226" spans="6:7" x14ac:dyDescent="0.25">
      <c r="F226" s="259">
        <v>221</v>
      </c>
      <c r="G226" s="265">
        <v>837427.73219404859</v>
      </c>
    </row>
    <row r="227" spans="6:7" x14ac:dyDescent="0.25">
      <c r="F227" s="259">
        <v>222</v>
      </c>
      <c r="G227" s="265">
        <v>1591177.76037351</v>
      </c>
    </row>
    <row r="228" spans="6:7" x14ac:dyDescent="0.25">
      <c r="F228" s="259">
        <v>223</v>
      </c>
      <c r="G228" s="265">
        <v>1413021.6828519325</v>
      </c>
    </row>
    <row r="229" spans="6:7" x14ac:dyDescent="0.25">
      <c r="F229" s="259">
        <v>224</v>
      </c>
      <c r="G229" s="265">
        <v>1354425.1713051377</v>
      </c>
    </row>
    <row r="230" spans="6:7" x14ac:dyDescent="0.25">
      <c r="F230" s="259">
        <v>225</v>
      </c>
      <c r="G230" s="265">
        <v>1763009.1199893365</v>
      </c>
    </row>
    <row r="231" spans="6:7" x14ac:dyDescent="0.25">
      <c r="F231" s="259">
        <v>226</v>
      </c>
      <c r="G231" s="265">
        <v>1123891.234671352</v>
      </c>
    </row>
    <row r="232" spans="6:7" x14ac:dyDescent="0.25">
      <c r="F232" s="259">
        <v>227</v>
      </c>
      <c r="G232" s="265">
        <v>1441538.896176409</v>
      </c>
    </row>
    <row r="233" spans="6:7" x14ac:dyDescent="0.25">
      <c r="F233" s="259">
        <v>228</v>
      </c>
      <c r="G233" s="265">
        <v>1897525.9400225794</v>
      </c>
    </row>
    <row r="234" spans="6:7" x14ac:dyDescent="0.25">
      <c r="F234" s="259">
        <v>229</v>
      </c>
      <c r="G234" s="265">
        <v>1143775.9118431178</v>
      </c>
    </row>
    <row r="235" spans="6:7" x14ac:dyDescent="0.25">
      <c r="F235" s="259">
        <v>230</v>
      </c>
      <c r="G235" s="265">
        <v>1080251.9771830174</v>
      </c>
    </row>
    <row r="236" spans="6:7" x14ac:dyDescent="0.25">
      <c r="F236" s="259">
        <v>231</v>
      </c>
      <c r="G236" s="265">
        <v>761401.35823643603</v>
      </c>
    </row>
    <row r="237" spans="6:7" x14ac:dyDescent="0.25">
      <c r="F237" s="259">
        <v>232</v>
      </c>
      <c r="G237" s="265">
        <v>1389267.1025353647</v>
      </c>
    </row>
    <row r="238" spans="6:7" x14ac:dyDescent="0.25">
      <c r="F238" s="259">
        <v>233</v>
      </c>
      <c r="G238" s="265">
        <v>1278504.8628186905</v>
      </c>
    </row>
    <row r="239" spans="6:7" x14ac:dyDescent="0.25">
      <c r="F239" s="259">
        <v>234</v>
      </c>
      <c r="G239" s="265">
        <v>1178723.9085445097</v>
      </c>
    </row>
    <row r="240" spans="6:7" x14ac:dyDescent="0.25">
      <c r="F240" s="259">
        <v>235</v>
      </c>
      <c r="G240" s="265">
        <v>1640888.6737824413</v>
      </c>
    </row>
    <row r="241" spans="6:7" x14ac:dyDescent="0.25">
      <c r="F241" s="259">
        <v>236</v>
      </c>
      <c r="G241" s="265">
        <v>1334540.4941333719</v>
      </c>
    </row>
    <row r="242" spans="6:7" x14ac:dyDescent="0.25">
      <c r="F242" s="259">
        <v>237</v>
      </c>
      <c r="G242" s="265">
        <v>1015583.8097156254</v>
      </c>
    </row>
    <row r="243" spans="6:7" x14ac:dyDescent="0.25">
      <c r="F243" s="259">
        <v>238</v>
      </c>
      <c r="G243" s="265">
        <v>1211111.0250137872</v>
      </c>
    </row>
    <row r="244" spans="6:7" x14ac:dyDescent="0.25">
      <c r="F244" s="259">
        <v>239</v>
      </c>
      <c r="G244" s="265">
        <v>889593.46036392846</v>
      </c>
    </row>
    <row r="245" spans="6:7" x14ac:dyDescent="0.25">
      <c r="F245" s="259">
        <v>240</v>
      </c>
      <c r="G245" s="265">
        <v>1310679.8483456392</v>
      </c>
    </row>
    <row r="246" spans="6:7" x14ac:dyDescent="0.25">
      <c r="F246" s="259">
        <v>241</v>
      </c>
      <c r="G246" s="265">
        <v>1334540.4941333719</v>
      </c>
    </row>
    <row r="247" spans="6:7" x14ac:dyDescent="0.25">
      <c r="F247" s="259">
        <v>242</v>
      </c>
      <c r="G247" s="265">
        <v>1386706.2223032513</v>
      </c>
    </row>
    <row r="248" spans="6:7" x14ac:dyDescent="0.25">
      <c r="F248" s="259">
        <v>243</v>
      </c>
      <c r="G248" s="265">
        <v>1047970.9261849038</v>
      </c>
    </row>
    <row r="249" spans="6:7" x14ac:dyDescent="0.25">
      <c r="F249" s="259">
        <v>244</v>
      </c>
      <c r="G249" s="265">
        <v>1302153.3776640934</v>
      </c>
    </row>
    <row r="250" spans="6:7" x14ac:dyDescent="0.25">
      <c r="F250" s="259">
        <v>245</v>
      </c>
      <c r="G250" s="265">
        <v>817436.98955111788</v>
      </c>
    </row>
    <row r="251" spans="6:7" x14ac:dyDescent="0.25">
      <c r="F251" s="259">
        <v>246</v>
      </c>
      <c r="G251" s="265">
        <v>2095672.7601870876</v>
      </c>
    </row>
    <row r="252" spans="6:7" x14ac:dyDescent="0.25">
      <c r="F252" s="259">
        <v>247</v>
      </c>
      <c r="G252" s="265">
        <v>1532581.2488267152</v>
      </c>
    </row>
    <row r="253" spans="6:7" x14ac:dyDescent="0.25">
      <c r="F253" s="259">
        <v>248</v>
      </c>
      <c r="G253" s="265">
        <v>1322038.0548358597</v>
      </c>
    </row>
    <row r="254" spans="6:7" x14ac:dyDescent="0.25">
      <c r="F254" s="259">
        <v>249</v>
      </c>
      <c r="G254" s="265">
        <v>837427.73219404859</v>
      </c>
    </row>
    <row r="255" spans="6:7" x14ac:dyDescent="0.25">
      <c r="F255" s="259">
        <v>250</v>
      </c>
      <c r="G255" s="265">
        <v>1330670.5909885699</v>
      </c>
    </row>
    <row r="256" spans="6:7" x14ac:dyDescent="0.25">
      <c r="F256" s="259">
        <v>251</v>
      </c>
      <c r="G256" s="265">
        <v>1322038.0548358597</v>
      </c>
    </row>
    <row r="257" spans="6:7" x14ac:dyDescent="0.25">
      <c r="F257" s="259">
        <v>252</v>
      </c>
      <c r="G257" s="265">
        <v>1147645.8149879198</v>
      </c>
    </row>
    <row r="258" spans="6:7" x14ac:dyDescent="0.25">
      <c r="F258" s="259">
        <v>253</v>
      </c>
      <c r="G258" s="265">
        <v>504764.09199629817</v>
      </c>
    </row>
    <row r="259" spans="6:7" x14ac:dyDescent="0.25">
      <c r="F259" s="259">
        <v>254</v>
      </c>
      <c r="G259" s="265">
        <v>1973552.3139801915</v>
      </c>
    </row>
    <row r="260" spans="6:7" x14ac:dyDescent="0.25">
      <c r="F260" s="259">
        <v>255</v>
      </c>
      <c r="G260" s="265">
        <v>1719369.8625010019</v>
      </c>
    </row>
    <row r="261" spans="6:7" x14ac:dyDescent="0.25">
      <c r="F261" s="259">
        <v>256</v>
      </c>
      <c r="G261" s="265">
        <v>691552.70567058492</v>
      </c>
    </row>
    <row r="262" spans="6:7" x14ac:dyDescent="0.25">
      <c r="F262" s="259">
        <v>257</v>
      </c>
      <c r="G262" s="265">
        <v>1374309.848476904</v>
      </c>
    </row>
    <row r="263" spans="6:7" x14ac:dyDescent="0.25">
      <c r="F263" s="259">
        <v>258</v>
      </c>
      <c r="G263" s="265">
        <v>1287031.3335002358</v>
      </c>
    </row>
    <row r="264" spans="6:7" x14ac:dyDescent="0.25">
      <c r="F264" s="259">
        <v>259</v>
      </c>
      <c r="G264" s="265">
        <v>1143775.9118431178</v>
      </c>
    </row>
    <row r="265" spans="6:7" x14ac:dyDescent="0.25">
      <c r="F265" s="259">
        <v>260</v>
      </c>
      <c r="G265" s="265">
        <v>1199917.6086289641</v>
      </c>
    </row>
    <row r="266" spans="6:7" x14ac:dyDescent="0.25">
      <c r="F266" s="259">
        <v>261</v>
      </c>
      <c r="G266" s="265">
        <v>1397958.3633223078</v>
      </c>
    </row>
    <row r="267" spans="6:7" x14ac:dyDescent="0.25">
      <c r="F267" s="259">
        <v>262</v>
      </c>
      <c r="G267" s="265">
        <v>837427.73219404859</v>
      </c>
    </row>
    <row r="268" spans="6:7" x14ac:dyDescent="0.25">
      <c r="F268" s="259">
        <v>263</v>
      </c>
      <c r="G268" s="265">
        <v>1687088.8115028888</v>
      </c>
    </row>
    <row r="269" spans="6:7" x14ac:dyDescent="0.25">
      <c r="F269" s="259">
        <v>264</v>
      </c>
      <c r="G269" s="265">
        <v>846060.26834675879</v>
      </c>
    </row>
    <row r="270" spans="6:7" x14ac:dyDescent="0.25">
      <c r="F270" s="259">
        <v>265</v>
      </c>
      <c r="G270" s="265">
        <v>1123891.234671352</v>
      </c>
    </row>
    <row r="271" spans="6:7" x14ac:dyDescent="0.25">
      <c r="F271" s="259">
        <v>266</v>
      </c>
      <c r="G271" s="265">
        <v>1374309.848476904</v>
      </c>
    </row>
    <row r="272" spans="6:7" x14ac:dyDescent="0.25">
      <c r="F272" s="259">
        <v>267</v>
      </c>
      <c r="G272" s="265">
        <v>1739360.6051439331</v>
      </c>
    </row>
    <row r="273" spans="6:7" x14ac:dyDescent="0.25">
      <c r="F273" s="259">
        <v>268</v>
      </c>
      <c r="G273" s="265">
        <v>1024216.3458683363</v>
      </c>
    </row>
    <row r="274" spans="6:7" x14ac:dyDescent="0.25">
      <c r="F274" s="259">
        <v>269</v>
      </c>
      <c r="G274" s="265">
        <v>1452791.0371954651</v>
      </c>
    </row>
    <row r="275" spans="6:7" x14ac:dyDescent="0.25">
      <c r="F275" s="259">
        <v>270</v>
      </c>
      <c r="G275" s="265">
        <v>1020452.5081946987</v>
      </c>
    </row>
    <row r="276" spans="6:7" x14ac:dyDescent="0.25">
      <c r="F276" s="259">
        <v>271</v>
      </c>
      <c r="G276" s="265">
        <v>1044101.0230401019</v>
      </c>
    </row>
    <row r="277" spans="6:7" x14ac:dyDescent="0.25">
      <c r="F277" s="259">
        <v>272</v>
      </c>
      <c r="G277" s="265">
        <v>1024216.3458683363</v>
      </c>
    </row>
    <row r="278" spans="6:7" x14ac:dyDescent="0.25">
      <c r="F278" s="259">
        <v>273</v>
      </c>
      <c r="G278" s="265">
        <v>1409151.779707131</v>
      </c>
    </row>
    <row r="279" spans="6:7" x14ac:dyDescent="0.25">
      <c r="F279" s="259">
        <v>274</v>
      </c>
      <c r="G279" s="265">
        <v>1044207.0885112667</v>
      </c>
    </row>
    <row r="280" spans="6:7" x14ac:dyDescent="0.25">
      <c r="F280" s="259">
        <v>275</v>
      </c>
      <c r="G280" s="265">
        <v>1865244.8890244658</v>
      </c>
    </row>
    <row r="281" spans="6:7" x14ac:dyDescent="0.25">
      <c r="F281" s="259">
        <v>276</v>
      </c>
      <c r="G281" s="265">
        <v>1409151.779707131</v>
      </c>
    </row>
    <row r="282" spans="6:7" x14ac:dyDescent="0.25">
      <c r="F282" s="259">
        <v>277</v>
      </c>
      <c r="G282" s="265">
        <v>1325801.8925094972</v>
      </c>
    </row>
    <row r="283" spans="6:7" x14ac:dyDescent="0.25">
      <c r="F283" s="259">
        <v>278</v>
      </c>
      <c r="G283" s="265">
        <v>606893.79556026217</v>
      </c>
    </row>
    <row r="284" spans="6:7" x14ac:dyDescent="0.25">
      <c r="F284" s="259">
        <v>279</v>
      </c>
      <c r="G284" s="265">
        <v>1258514.1201757588</v>
      </c>
    </row>
    <row r="285" spans="6:7" x14ac:dyDescent="0.25">
      <c r="F285" s="259">
        <v>280</v>
      </c>
      <c r="G285" s="265">
        <v>1143881.9773142827</v>
      </c>
    </row>
    <row r="286" spans="6:7" x14ac:dyDescent="0.25">
      <c r="F286" s="259">
        <v>281</v>
      </c>
      <c r="G286" s="265">
        <v>893463.36350872996</v>
      </c>
    </row>
    <row r="287" spans="6:7" x14ac:dyDescent="0.25">
      <c r="F287" s="259">
        <v>282</v>
      </c>
      <c r="G287" s="265">
        <v>559596.76586945541</v>
      </c>
    </row>
    <row r="288" spans="6:7" x14ac:dyDescent="0.25">
      <c r="F288" s="259">
        <v>283</v>
      </c>
      <c r="G288" s="265">
        <v>869814.84866332682</v>
      </c>
    </row>
    <row r="289" spans="6:7" x14ac:dyDescent="0.25">
      <c r="F289" s="259">
        <v>284</v>
      </c>
      <c r="G289" s="265">
        <v>1397958.3633223078</v>
      </c>
    </row>
    <row r="290" spans="6:7" x14ac:dyDescent="0.25">
      <c r="F290" s="259">
        <v>285</v>
      </c>
      <c r="G290" s="265">
        <v>1686982.7460317239</v>
      </c>
    </row>
    <row r="291" spans="6:7" x14ac:dyDescent="0.25">
      <c r="F291" s="259">
        <v>286</v>
      </c>
      <c r="G291" s="265">
        <v>659271.65467247157</v>
      </c>
    </row>
    <row r="292" spans="6:7" x14ac:dyDescent="0.25">
      <c r="F292" s="259">
        <v>287</v>
      </c>
      <c r="G292" s="265">
        <v>1452791.0371954651</v>
      </c>
    </row>
    <row r="293" spans="6:7" x14ac:dyDescent="0.25">
      <c r="F293" s="259">
        <v>288</v>
      </c>
      <c r="G293" s="265">
        <v>1080251.9771830174</v>
      </c>
    </row>
    <row r="294" spans="6:7" x14ac:dyDescent="0.25">
      <c r="F294" s="259">
        <v>289</v>
      </c>
      <c r="G294" s="265">
        <v>1413021.6828519325</v>
      </c>
    </row>
    <row r="295" spans="6:7" x14ac:dyDescent="0.25">
      <c r="F295" s="259">
        <v>290</v>
      </c>
      <c r="G295" s="265">
        <v>1719369.8625010019</v>
      </c>
    </row>
    <row r="296" spans="6:7" x14ac:dyDescent="0.25">
      <c r="F296" s="259">
        <v>291</v>
      </c>
      <c r="G296" s="265">
        <v>1897632.0054937438</v>
      </c>
    </row>
    <row r="297" spans="6:7" x14ac:dyDescent="0.25">
      <c r="F297" s="259">
        <v>292</v>
      </c>
      <c r="G297" s="265">
        <v>849824.10602039564</v>
      </c>
    </row>
    <row r="298" spans="6:7" x14ac:dyDescent="0.25">
      <c r="F298" s="259">
        <v>293</v>
      </c>
      <c r="G298" s="265">
        <v>1456554.8748691021</v>
      </c>
    </row>
    <row r="299" spans="6:7" x14ac:dyDescent="0.25">
      <c r="F299" s="259">
        <v>294</v>
      </c>
      <c r="G299" s="265">
        <v>1630947.1147170421</v>
      </c>
    </row>
    <row r="300" spans="6:7" x14ac:dyDescent="0.25">
      <c r="F300" s="259">
        <v>295</v>
      </c>
      <c r="G300" s="265">
        <v>869814.84866332682</v>
      </c>
    </row>
    <row r="301" spans="6:7" x14ac:dyDescent="0.25">
      <c r="F301" s="259">
        <v>296</v>
      </c>
      <c r="G301" s="265">
        <v>1706973.4886746551</v>
      </c>
    </row>
    <row r="302" spans="6:7" x14ac:dyDescent="0.25">
      <c r="F302" s="259">
        <v>297</v>
      </c>
      <c r="G302" s="265">
        <v>1322038.0548358597</v>
      </c>
    </row>
    <row r="303" spans="6:7" x14ac:dyDescent="0.25">
      <c r="F303" s="259">
        <v>298</v>
      </c>
      <c r="G303" s="265">
        <v>948296.03738188767</v>
      </c>
    </row>
    <row r="304" spans="6:7" x14ac:dyDescent="0.25">
      <c r="F304" s="259">
        <v>299</v>
      </c>
      <c r="G304" s="265">
        <v>1322038.0548358597</v>
      </c>
    </row>
    <row r="305" spans="6:7" x14ac:dyDescent="0.25">
      <c r="F305" s="259">
        <v>300</v>
      </c>
      <c r="G305" s="265">
        <v>1786657.6348347403</v>
      </c>
    </row>
    <row r="306" spans="6:7" x14ac:dyDescent="0.25">
      <c r="F306" s="259">
        <v>301</v>
      </c>
      <c r="G306" s="265">
        <v>1219802.2858007308</v>
      </c>
    </row>
    <row r="307" spans="6:7" x14ac:dyDescent="0.25">
      <c r="F307" s="259">
        <v>302</v>
      </c>
      <c r="G307" s="265">
        <v>1170091.372391799</v>
      </c>
    </row>
    <row r="308" spans="6:7" x14ac:dyDescent="0.25">
      <c r="F308" s="259">
        <v>303</v>
      </c>
      <c r="G308" s="265">
        <v>1147645.8149879198</v>
      </c>
    </row>
    <row r="309" spans="6:7" x14ac:dyDescent="0.25">
      <c r="F309" s="259">
        <v>304</v>
      </c>
      <c r="G309" s="265">
        <v>869708.7831921624</v>
      </c>
    </row>
    <row r="310" spans="6:7" x14ac:dyDescent="0.25">
      <c r="F310" s="259">
        <v>305</v>
      </c>
      <c r="G310" s="265">
        <v>1302047.3121929285</v>
      </c>
    </row>
    <row r="311" spans="6:7" x14ac:dyDescent="0.25">
      <c r="F311" s="259">
        <v>306</v>
      </c>
      <c r="G311" s="265">
        <v>849824.10602039564</v>
      </c>
    </row>
    <row r="312" spans="6:7" x14ac:dyDescent="0.25">
      <c r="F312" s="259">
        <v>307</v>
      </c>
      <c r="G312" s="265">
        <v>1120127.3969977144</v>
      </c>
    </row>
    <row r="313" spans="6:7" x14ac:dyDescent="0.25">
      <c r="F313" s="259">
        <v>308</v>
      </c>
      <c r="G313" s="265">
        <v>2095672.7601870876</v>
      </c>
    </row>
    <row r="314" spans="6:7" x14ac:dyDescent="0.25">
      <c r="F314" s="259">
        <v>309</v>
      </c>
      <c r="G314" s="265">
        <v>1424273.823870989</v>
      </c>
    </row>
    <row r="315" spans="6:7" x14ac:dyDescent="0.25">
      <c r="F315" s="259">
        <v>310</v>
      </c>
      <c r="G315" s="265">
        <v>1246011.6808782471</v>
      </c>
    </row>
    <row r="316" spans="6:7" x14ac:dyDescent="0.25">
      <c r="F316" s="259">
        <v>311</v>
      </c>
      <c r="G316" s="265">
        <v>2306215.9541779426</v>
      </c>
    </row>
    <row r="317" spans="6:7" x14ac:dyDescent="0.25">
      <c r="F317" s="259">
        <v>312</v>
      </c>
      <c r="G317" s="265">
        <v>1432800.2945525344</v>
      </c>
    </row>
    <row r="318" spans="6:7" x14ac:dyDescent="0.25">
      <c r="F318" s="259">
        <v>313</v>
      </c>
      <c r="G318" s="265">
        <v>991829.22939905757</v>
      </c>
    </row>
    <row r="319" spans="6:7" x14ac:dyDescent="0.25">
      <c r="F319" s="259">
        <v>314</v>
      </c>
      <c r="G319" s="265">
        <v>1147645.8149879198</v>
      </c>
    </row>
    <row r="320" spans="6:7" x14ac:dyDescent="0.25">
      <c r="F320" s="259">
        <v>315</v>
      </c>
      <c r="G320" s="265">
        <v>606893.79556026217</v>
      </c>
    </row>
    <row r="321" spans="6:7" x14ac:dyDescent="0.25">
      <c r="F321" s="259">
        <v>316</v>
      </c>
      <c r="G321" s="265">
        <v>1378073.6861505415</v>
      </c>
    </row>
    <row r="322" spans="6:7" x14ac:dyDescent="0.25">
      <c r="F322" s="259">
        <v>317</v>
      </c>
      <c r="G322" s="265">
        <v>1941165.1975109139</v>
      </c>
    </row>
    <row r="323" spans="6:7" x14ac:dyDescent="0.25">
      <c r="F323" s="259">
        <v>318</v>
      </c>
      <c r="G323" s="265">
        <v>1147645.8149879198</v>
      </c>
    </row>
    <row r="324" spans="6:7" x14ac:dyDescent="0.25">
      <c r="F324" s="259">
        <v>319</v>
      </c>
      <c r="G324" s="265">
        <v>1230995.702185554</v>
      </c>
    </row>
    <row r="325" spans="6:7" x14ac:dyDescent="0.25">
      <c r="F325" s="259">
        <v>320</v>
      </c>
      <c r="G325" s="265">
        <v>889593.46036392846</v>
      </c>
    </row>
    <row r="326" spans="6:7" x14ac:dyDescent="0.25">
      <c r="F326" s="259">
        <v>321</v>
      </c>
      <c r="G326" s="265">
        <v>1180032.9314571982</v>
      </c>
    </row>
    <row r="327" spans="6:7" x14ac:dyDescent="0.25">
      <c r="F327" s="259">
        <v>322</v>
      </c>
      <c r="G327" s="265">
        <v>1126452.1149034649</v>
      </c>
    </row>
    <row r="328" spans="6:7" x14ac:dyDescent="0.25">
      <c r="F328" s="259">
        <v>323</v>
      </c>
      <c r="G328" s="265">
        <v>969489.73746634298</v>
      </c>
    </row>
    <row r="329" spans="6:7" x14ac:dyDescent="0.25">
      <c r="F329" s="259">
        <v>324</v>
      </c>
      <c r="G329" s="265">
        <v>1476545.6175120333</v>
      </c>
    </row>
    <row r="330" spans="6:7" x14ac:dyDescent="0.25">
      <c r="F330" s="259">
        <v>325</v>
      </c>
      <c r="G330" s="265">
        <v>1071619.4410303072</v>
      </c>
    </row>
    <row r="331" spans="6:7" x14ac:dyDescent="0.25">
      <c r="F331" s="259">
        <v>326</v>
      </c>
      <c r="G331" s="265">
        <v>2128059.8766563651</v>
      </c>
    </row>
    <row r="332" spans="6:7" x14ac:dyDescent="0.25">
      <c r="F332" s="259">
        <v>327</v>
      </c>
      <c r="G332" s="265">
        <v>1480309.4551856709</v>
      </c>
    </row>
    <row r="333" spans="6:7" x14ac:dyDescent="0.25">
      <c r="F333" s="259">
        <v>328</v>
      </c>
      <c r="G333" s="265">
        <v>1719369.8625010019</v>
      </c>
    </row>
    <row r="334" spans="6:7" x14ac:dyDescent="0.25">
      <c r="F334" s="259">
        <v>329</v>
      </c>
      <c r="G334" s="265">
        <v>1080251.9771830174</v>
      </c>
    </row>
    <row r="335" spans="6:7" x14ac:dyDescent="0.25">
      <c r="F335" s="259">
        <v>330</v>
      </c>
      <c r="G335" s="265">
        <v>1123997.3001425164</v>
      </c>
    </row>
    <row r="336" spans="6:7" x14ac:dyDescent="0.25">
      <c r="F336" s="259">
        <v>331</v>
      </c>
      <c r="G336" s="265">
        <v>1287031.3335002358</v>
      </c>
    </row>
    <row r="337" spans="6:7" x14ac:dyDescent="0.25">
      <c r="F337" s="259">
        <v>332</v>
      </c>
      <c r="G337" s="265">
        <v>902095.89966144017</v>
      </c>
    </row>
    <row r="338" spans="6:7" x14ac:dyDescent="0.25">
      <c r="F338" s="259">
        <v>333</v>
      </c>
      <c r="G338" s="265">
        <v>1234865.6053303559</v>
      </c>
    </row>
    <row r="339" spans="6:7" x14ac:dyDescent="0.25">
      <c r="F339" s="259">
        <v>334</v>
      </c>
      <c r="G339" s="265">
        <v>1432800.2945525344</v>
      </c>
    </row>
    <row r="340" spans="6:7" x14ac:dyDescent="0.25">
      <c r="F340" s="259">
        <v>335</v>
      </c>
      <c r="G340" s="265">
        <v>2128059.8766563651</v>
      </c>
    </row>
    <row r="341" spans="6:7" x14ac:dyDescent="0.25">
      <c r="F341" s="259">
        <v>336</v>
      </c>
      <c r="G341" s="265">
        <v>1325801.8925094972</v>
      </c>
    </row>
    <row r="342" spans="6:7" x14ac:dyDescent="0.25">
      <c r="F342" s="259">
        <v>337</v>
      </c>
      <c r="G342" s="265">
        <v>1378073.6861505415</v>
      </c>
    </row>
    <row r="343" spans="6:7" x14ac:dyDescent="0.25">
      <c r="F343" s="259">
        <v>338</v>
      </c>
      <c r="G343" s="265">
        <v>1465293.4764929772</v>
      </c>
    </row>
    <row r="344" spans="6:7" x14ac:dyDescent="0.25">
      <c r="F344" s="259">
        <v>339</v>
      </c>
      <c r="G344" s="265">
        <v>1287031.3335002358</v>
      </c>
    </row>
    <row r="345" spans="6:7" x14ac:dyDescent="0.25">
      <c r="F345" s="259">
        <v>340</v>
      </c>
      <c r="G345" s="265">
        <v>991935.29487022222</v>
      </c>
    </row>
    <row r="346" spans="6:7" x14ac:dyDescent="0.25">
      <c r="F346" s="259">
        <v>341</v>
      </c>
      <c r="G346" s="265">
        <v>639280.91202954063</v>
      </c>
    </row>
    <row r="347" spans="6:7" x14ac:dyDescent="0.25">
      <c r="F347" s="259">
        <v>342</v>
      </c>
      <c r="G347" s="265">
        <v>1310785.9138168031</v>
      </c>
    </row>
    <row r="348" spans="6:7" x14ac:dyDescent="0.25">
      <c r="F348" s="259">
        <v>343</v>
      </c>
      <c r="G348" s="265">
        <v>1489048.0568095455</v>
      </c>
    </row>
    <row r="349" spans="6:7" x14ac:dyDescent="0.25">
      <c r="F349" s="259">
        <v>344</v>
      </c>
      <c r="G349" s="265">
        <v>1410460.8026198195</v>
      </c>
    </row>
    <row r="350" spans="6:7" x14ac:dyDescent="0.25">
      <c r="F350" s="259">
        <v>345</v>
      </c>
      <c r="G350" s="265">
        <v>1667098.0688599576</v>
      </c>
    </row>
    <row r="351" spans="6:7" x14ac:dyDescent="0.25">
      <c r="F351" s="259">
        <v>346</v>
      </c>
      <c r="G351" s="265">
        <v>1564968.3652959932</v>
      </c>
    </row>
    <row r="352" spans="6:7" x14ac:dyDescent="0.25">
      <c r="F352" s="259">
        <v>347</v>
      </c>
      <c r="G352" s="265">
        <v>1158839.2313727429</v>
      </c>
    </row>
    <row r="353" spans="6:7" x14ac:dyDescent="0.25">
      <c r="F353" s="259">
        <v>348</v>
      </c>
      <c r="G353" s="265">
        <v>2151708.391501769</v>
      </c>
    </row>
    <row r="354" spans="6:7" x14ac:dyDescent="0.25">
      <c r="F354" s="259">
        <v>349</v>
      </c>
      <c r="G354" s="265">
        <v>1254750.2825021218</v>
      </c>
    </row>
    <row r="355" spans="6:7" x14ac:dyDescent="0.25">
      <c r="F355" s="259">
        <v>350</v>
      </c>
      <c r="G355" s="265">
        <v>1634817.0178618445</v>
      </c>
    </row>
    <row r="356" spans="6:7" x14ac:dyDescent="0.25">
      <c r="F356" s="259">
        <v>351</v>
      </c>
      <c r="G356" s="265">
        <v>1719475.9279721668</v>
      </c>
    </row>
    <row r="357" spans="6:7" x14ac:dyDescent="0.25">
      <c r="F357" s="259">
        <v>352</v>
      </c>
      <c r="G357" s="265">
        <v>1508932.7339813118</v>
      </c>
    </row>
    <row r="358" spans="6:7" x14ac:dyDescent="0.25">
      <c r="F358" s="259">
        <v>353</v>
      </c>
      <c r="G358" s="265">
        <v>865944.94551852485</v>
      </c>
    </row>
    <row r="359" spans="6:7" x14ac:dyDescent="0.25">
      <c r="F359" s="259">
        <v>354</v>
      </c>
      <c r="G359" s="265">
        <v>1336995.3088943199</v>
      </c>
    </row>
    <row r="360" spans="6:7" x14ac:dyDescent="0.25">
      <c r="F360" s="259">
        <v>355</v>
      </c>
      <c r="G360" s="265">
        <v>1230995.702185554</v>
      </c>
    </row>
    <row r="361" spans="6:7" x14ac:dyDescent="0.25">
      <c r="F361" s="259">
        <v>356</v>
      </c>
      <c r="G361" s="265">
        <v>1044101.0230401019</v>
      </c>
    </row>
    <row r="362" spans="6:7" x14ac:dyDescent="0.25">
      <c r="F362" s="259">
        <v>357</v>
      </c>
      <c r="G362" s="265">
        <v>1302047.3121929285</v>
      </c>
    </row>
    <row r="363" spans="6:7" x14ac:dyDescent="0.25">
      <c r="F363" s="259">
        <v>358</v>
      </c>
      <c r="G363" s="265">
        <v>1376764.6632378525</v>
      </c>
    </row>
    <row r="364" spans="6:7" x14ac:dyDescent="0.25">
      <c r="F364" s="259">
        <v>359</v>
      </c>
      <c r="G364" s="265">
        <v>1841490.3087078976</v>
      </c>
    </row>
    <row r="365" spans="6:7" x14ac:dyDescent="0.25">
      <c r="F365" s="259">
        <v>360</v>
      </c>
      <c r="G365" s="265">
        <v>837427.73219404859</v>
      </c>
    </row>
    <row r="366" spans="6:7" x14ac:dyDescent="0.25">
      <c r="F366" s="259">
        <v>361</v>
      </c>
      <c r="G366" s="265">
        <v>793788.47470571427</v>
      </c>
    </row>
    <row r="367" spans="6:7" x14ac:dyDescent="0.25">
      <c r="F367" s="259">
        <v>362</v>
      </c>
      <c r="G367" s="265">
        <v>869814.84866332682</v>
      </c>
    </row>
    <row r="368" spans="6:7" x14ac:dyDescent="0.25">
      <c r="F368" s="259">
        <v>363</v>
      </c>
      <c r="G368" s="265">
        <v>1020452.5081946987</v>
      </c>
    </row>
    <row r="369" spans="6:7" x14ac:dyDescent="0.25">
      <c r="F369" s="259">
        <v>364</v>
      </c>
      <c r="G369" s="265">
        <v>1104006.5574995852</v>
      </c>
    </row>
    <row r="370" spans="6:7" x14ac:dyDescent="0.25">
      <c r="F370" s="259">
        <v>365</v>
      </c>
      <c r="G370" s="265">
        <v>991829.22939905757</v>
      </c>
    </row>
    <row r="371" spans="6:7" x14ac:dyDescent="0.25">
      <c r="F371" s="259">
        <v>366</v>
      </c>
      <c r="G371" s="265">
        <v>1640888.6737824413</v>
      </c>
    </row>
    <row r="372" spans="6:7" x14ac:dyDescent="0.25">
      <c r="F372" s="259">
        <v>367</v>
      </c>
      <c r="G372" s="265">
        <v>1024322.4113395005</v>
      </c>
    </row>
    <row r="373" spans="6:7" x14ac:dyDescent="0.25">
      <c r="F373" s="259">
        <v>368</v>
      </c>
      <c r="G373" s="265">
        <v>671668.02849881887</v>
      </c>
    </row>
    <row r="374" spans="6:7" x14ac:dyDescent="0.25">
      <c r="F374" s="259">
        <v>369</v>
      </c>
      <c r="G374" s="265">
        <v>1436670.1976973363</v>
      </c>
    </row>
    <row r="375" spans="6:7" x14ac:dyDescent="0.25">
      <c r="F375" s="259">
        <v>370</v>
      </c>
      <c r="G375" s="265">
        <v>1047970.9261849038</v>
      </c>
    </row>
    <row r="376" spans="6:7" x14ac:dyDescent="0.25">
      <c r="F376" s="259">
        <v>371</v>
      </c>
      <c r="G376" s="265">
        <v>965619.83432154101</v>
      </c>
    </row>
    <row r="377" spans="6:7" x14ac:dyDescent="0.25">
      <c r="F377" s="259">
        <v>372</v>
      </c>
      <c r="G377" s="265">
        <v>1080251.9771830174</v>
      </c>
    </row>
    <row r="378" spans="6:7" x14ac:dyDescent="0.25">
      <c r="F378" s="259">
        <v>373</v>
      </c>
      <c r="G378" s="265">
        <v>1156278.3511406295</v>
      </c>
    </row>
    <row r="379" spans="6:7" x14ac:dyDescent="0.25">
      <c r="F379" s="259">
        <v>374</v>
      </c>
      <c r="G379" s="265">
        <v>711437.38284235145</v>
      </c>
    </row>
    <row r="380" spans="6:7" x14ac:dyDescent="0.25">
      <c r="F380" s="259">
        <v>375</v>
      </c>
      <c r="G380" s="265">
        <v>1865244.8890244658</v>
      </c>
    </row>
    <row r="381" spans="6:7" x14ac:dyDescent="0.25">
      <c r="F381" s="259">
        <v>376</v>
      </c>
      <c r="G381" s="265">
        <v>1015583.8097156254</v>
      </c>
    </row>
    <row r="382" spans="6:7" x14ac:dyDescent="0.25">
      <c r="F382" s="259">
        <v>377</v>
      </c>
      <c r="G382" s="265">
        <v>1508826.6685101469</v>
      </c>
    </row>
    <row r="383" spans="6:7" x14ac:dyDescent="0.25">
      <c r="F383" s="259">
        <v>378</v>
      </c>
      <c r="G383" s="265">
        <v>1795396.2364586149</v>
      </c>
    </row>
    <row r="384" spans="6:7" x14ac:dyDescent="0.25">
      <c r="F384" s="259">
        <v>379</v>
      </c>
      <c r="G384" s="265">
        <v>968180.71455365419</v>
      </c>
    </row>
    <row r="385" spans="6:7" x14ac:dyDescent="0.25">
      <c r="F385" s="259">
        <v>380</v>
      </c>
      <c r="G385" s="265">
        <v>1508826.6685101469</v>
      </c>
    </row>
    <row r="386" spans="6:7" x14ac:dyDescent="0.25">
      <c r="F386" s="259">
        <v>381</v>
      </c>
      <c r="G386" s="265">
        <v>1921280.5203391472</v>
      </c>
    </row>
    <row r="387" spans="6:7" x14ac:dyDescent="0.25">
      <c r="F387" s="259">
        <v>382</v>
      </c>
      <c r="G387" s="265">
        <v>1576114.4408438844</v>
      </c>
    </row>
    <row r="388" spans="6:7" x14ac:dyDescent="0.25">
      <c r="F388" s="259">
        <v>383</v>
      </c>
      <c r="G388" s="265">
        <v>991935.29487022222</v>
      </c>
    </row>
    <row r="389" spans="6:7" x14ac:dyDescent="0.25">
      <c r="F389" s="259">
        <v>384</v>
      </c>
      <c r="G389" s="265">
        <v>405089.20319328201</v>
      </c>
    </row>
    <row r="390" spans="6:7" x14ac:dyDescent="0.25">
      <c r="F390" s="259">
        <v>385</v>
      </c>
      <c r="G390" s="265">
        <v>1322038.0548358597</v>
      </c>
    </row>
    <row r="391" spans="6:7" x14ac:dyDescent="0.25">
      <c r="F391" s="259">
        <v>386</v>
      </c>
      <c r="G391" s="265">
        <v>1400519.2435544208</v>
      </c>
    </row>
    <row r="392" spans="6:7" x14ac:dyDescent="0.25">
      <c r="F392" s="259">
        <v>387</v>
      </c>
      <c r="G392" s="265">
        <v>1047970.9261849038</v>
      </c>
    </row>
    <row r="393" spans="6:7" x14ac:dyDescent="0.25">
      <c r="F393" s="259">
        <v>388</v>
      </c>
      <c r="G393" s="265">
        <v>1556229.7636721185</v>
      </c>
    </row>
    <row r="394" spans="6:7" x14ac:dyDescent="0.25">
      <c r="F394" s="259">
        <v>389</v>
      </c>
      <c r="G394" s="265">
        <v>1056603.462337614</v>
      </c>
    </row>
    <row r="395" spans="6:7" x14ac:dyDescent="0.25">
      <c r="F395" s="259">
        <v>390</v>
      </c>
      <c r="G395" s="265">
        <v>921980.57683320669</v>
      </c>
    </row>
    <row r="396" spans="6:7" x14ac:dyDescent="0.25">
      <c r="F396" s="259">
        <v>391</v>
      </c>
      <c r="G396" s="265">
        <v>1278504.8628186905</v>
      </c>
    </row>
    <row r="397" spans="6:7" x14ac:dyDescent="0.25">
      <c r="F397" s="259">
        <v>392</v>
      </c>
      <c r="G397" s="265">
        <v>937102.62099706451</v>
      </c>
    </row>
    <row r="398" spans="6:7" x14ac:dyDescent="0.25">
      <c r="F398" s="259">
        <v>393</v>
      </c>
      <c r="G398" s="265">
        <v>925850.47997800843</v>
      </c>
    </row>
    <row r="399" spans="6:7" x14ac:dyDescent="0.25">
      <c r="F399" s="259">
        <v>394</v>
      </c>
      <c r="G399" s="265">
        <v>1321931.9893646948</v>
      </c>
    </row>
    <row r="400" spans="6:7" x14ac:dyDescent="0.25">
      <c r="F400" s="259">
        <v>395</v>
      </c>
      <c r="G400" s="265">
        <v>1766772.9576629736</v>
      </c>
    </row>
    <row r="401" spans="6:7" x14ac:dyDescent="0.25">
      <c r="F401" s="259">
        <v>396</v>
      </c>
      <c r="G401" s="265">
        <v>1710737.3263482922</v>
      </c>
    </row>
    <row r="402" spans="6:7" x14ac:dyDescent="0.25">
      <c r="F402" s="259">
        <v>397</v>
      </c>
      <c r="G402" s="265">
        <v>869708.7831921624</v>
      </c>
    </row>
    <row r="403" spans="6:7" x14ac:dyDescent="0.25">
      <c r="F403" s="259">
        <v>398</v>
      </c>
      <c r="G403" s="265">
        <v>826175.5911749925</v>
      </c>
    </row>
    <row r="404" spans="6:7" x14ac:dyDescent="0.25">
      <c r="F404" s="259">
        <v>399</v>
      </c>
      <c r="G404" s="265">
        <v>770139.95986031112</v>
      </c>
    </row>
    <row r="405" spans="6:7" x14ac:dyDescent="0.25">
      <c r="F405" s="259">
        <v>400</v>
      </c>
      <c r="G405" s="265">
        <v>1222363.1660328438</v>
      </c>
    </row>
    <row r="406" spans="6:7" x14ac:dyDescent="0.25">
      <c r="F406" s="259">
        <v>401</v>
      </c>
      <c r="G406" s="265">
        <v>1178723.9085445097</v>
      </c>
    </row>
    <row r="407" spans="6:7" x14ac:dyDescent="0.25">
      <c r="F407" s="259">
        <v>402</v>
      </c>
      <c r="G407" s="265">
        <v>1512696.5716549484</v>
      </c>
    </row>
    <row r="408" spans="6:7" x14ac:dyDescent="0.25">
      <c r="F408" s="259">
        <v>403</v>
      </c>
      <c r="G408" s="265">
        <v>937102.62099706451</v>
      </c>
    </row>
    <row r="409" spans="6:7" x14ac:dyDescent="0.25">
      <c r="F409" s="259">
        <v>404</v>
      </c>
      <c r="G409" s="265">
        <v>1686982.7460317239</v>
      </c>
    </row>
    <row r="410" spans="6:7" x14ac:dyDescent="0.25">
      <c r="F410" s="259">
        <v>405</v>
      </c>
      <c r="G410" s="265">
        <v>1997200.8288255953</v>
      </c>
    </row>
    <row r="411" spans="6:7" x14ac:dyDescent="0.25">
      <c r="F411" s="259">
        <v>406</v>
      </c>
      <c r="G411" s="265">
        <v>1076488.1395093808</v>
      </c>
    </row>
    <row r="412" spans="6:7" x14ac:dyDescent="0.25">
      <c r="F412" s="259">
        <v>407</v>
      </c>
      <c r="G412" s="265">
        <v>1120127.3969977144</v>
      </c>
    </row>
    <row r="413" spans="6:7" x14ac:dyDescent="0.25">
      <c r="F413" s="259">
        <v>408</v>
      </c>
      <c r="G413" s="265">
        <v>1997200.8288255953</v>
      </c>
    </row>
    <row r="414" spans="6:7" x14ac:dyDescent="0.25">
      <c r="F414" s="259">
        <v>409</v>
      </c>
      <c r="G414" s="265">
        <v>1246011.6808782471</v>
      </c>
    </row>
    <row r="415" spans="6:7" x14ac:dyDescent="0.25">
      <c r="F415" s="259">
        <v>410</v>
      </c>
      <c r="G415" s="265">
        <v>1432906.3600236992</v>
      </c>
    </row>
    <row r="416" spans="6:7" x14ac:dyDescent="0.25">
      <c r="F416" s="259">
        <v>411</v>
      </c>
      <c r="G416" s="265">
        <v>1374309.848476904</v>
      </c>
    </row>
    <row r="417" spans="6:7" x14ac:dyDescent="0.25">
      <c r="F417" s="259">
        <v>412</v>
      </c>
      <c r="G417" s="265">
        <v>1695721.3476555985</v>
      </c>
    </row>
    <row r="418" spans="6:7" x14ac:dyDescent="0.25">
      <c r="F418" s="259">
        <v>413</v>
      </c>
      <c r="G418" s="265">
        <v>635517.07435590355</v>
      </c>
    </row>
    <row r="419" spans="6:7" x14ac:dyDescent="0.25">
      <c r="F419" s="259">
        <v>414</v>
      </c>
      <c r="G419" s="265">
        <v>793788.47470571427</v>
      </c>
    </row>
    <row r="420" spans="6:7" x14ac:dyDescent="0.25">
      <c r="F420" s="259">
        <v>415</v>
      </c>
      <c r="G420" s="265">
        <v>583245.28071485902</v>
      </c>
    </row>
    <row r="421" spans="6:7" x14ac:dyDescent="0.25">
      <c r="F421" s="259">
        <v>416</v>
      </c>
      <c r="G421" s="265">
        <v>1376764.6632378525</v>
      </c>
    </row>
    <row r="422" spans="6:7" x14ac:dyDescent="0.25">
      <c r="F422" s="259">
        <v>417</v>
      </c>
      <c r="G422" s="265">
        <v>1500194.1323574367</v>
      </c>
    </row>
    <row r="423" spans="6:7" x14ac:dyDescent="0.25">
      <c r="F423" s="259">
        <v>418</v>
      </c>
      <c r="G423" s="265">
        <v>1120127.3969977144</v>
      </c>
    </row>
    <row r="424" spans="6:7" x14ac:dyDescent="0.25">
      <c r="F424" s="259">
        <v>419</v>
      </c>
      <c r="G424" s="265">
        <v>1287031.3335002358</v>
      </c>
    </row>
    <row r="425" spans="6:7" x14ac:dyDescent="0.25">
      <c r="F425" s="259">
        <v>420</v>
      </c>
      <c r="G425" s="265">
        <v>861076.24703945173</v>
      </c>
    </row>
    <row r="426" spans="6:7" x14ac:dyDescent="0.25">
      <c r="F426" s="259">
        <v>421</v>
      </c>
      <c r="G426" s="265">
        <v>1211111.0250137872</v>
      </c>
    </row>
    <row r="427" spans="6:7" x14ac:dyDescent="0.25">
      <c r="F427" s="259">
        <v>422</v>
      </c>
      <c r="G427" s="265">
        <v>1254644.2170309569</v>
      </c>
    </row>
    <row r="428" spans="6:7" x14ac:dyDescent="0.25">
      <c r="F428" s="259">
        <v>423</v>
      </c>
      <c r="G428" s="265">
        <v>1278398.7973475256</v>
      </c>
    </row>
    <row r="429" spans="6:7" x14ac:dyDescent="0.25">
      <c r="F429" s="259">
        <v>424</v>
      </c>
      <c r="G429" s="265">
        <v>1488941.9913383806</v>
      </c>
    </row>
    <row r="430" spans="6:7" x14ac:dyDescent="0.25">
      <c r="F430" s="259">
        <v>425</v>
      </c>
      <c r="G430" s="265">
        <v>659271.65467247157</v>
      </c>
    </row>
    <row r="431" spans="6:7" x14ac:dyDescent="0.25">
      <c r="F431" s="259">
        <v>426</v>
      </c>
      <c r="G431" s="265">
        <v>1441538.896176409</v>
      </c>
    </row>
    <row r="432" spans="6:7" x14ac:dyDescent="0.25">
      <c r="F432" s="259">
        <v>427</v>
      </c>
      <c r="G432" s="265">
        <v>1176163.0283123963</v>
      </c>
    </row>
    <row r="433" spans="6:7" x14ac:dyDescent="0.25">
      <c r="F433" s="259">
        <v>428</v>
      </c>
      <c r="G433" s="265">
        <v>1643343.4885433894</v>
      </c>
    </row>
    <row r="434" spans="6:7" x14ac:dyDescent="0.25">
      <c r="F434" s="259">
        <v>429</v>
      </c>
      <c r="G434" s="265">
        <v>813673.15187748033</v>
      </c>
    </row>
    <row r="435" spans="6:7" x14ac:dyDescent="0.25">
      <c r="F435" s="259">
        <v>430</v>
      </c>
      <c r="G435" s="265">
        <v>793788.47470571427</v>
      </c>
    </row>
    <row r="436" spans="6:7" x14ac:dyDescent="0.25">
      <c r="F436" s="259">
        <v>431</v>
      </c>
      <c r="G436" s="265">
        <v>1465293.4764929772</v>
      </c>
    </row>
    <row r="437" spans="6:7" x14ac:dyDescent="0.25">
      <c r="F437" s="259">
        <v>432</v>
      </c>
      <c r="G437" s="265">
        <v>1067961.6688278345</v>
      </c>
    </row>
    <row r="438" spans="6:7" x14ac:dyDescent="0.25">
      <c r="F438" s="259">
        <v>433</v>
      </c>
      <c r="G438" s="265">
        <v>1278292.7318763612</v>
      </c>
    </row>
    <row r="439" spans="6:7" x14ac:dyDescent="0.25">
      <c r="F439" s="259">
        <v>434</v>
      </c>
      <c r="G439" s="265">
        <v>1500194.1323574367</v>
      </c>
    </row>
    <row r="440" spans="6:7" x14ac:dyDescent="0.25">
      <c r="F440" s="259">
        <v>435</v>
      </c>
      <c r="G440" s="265">
        <v>639280.91202954063</v>
      </c>
    </row>
    <row r="441" spans="6:7" x14ac:dyDescent="0.25">
      <c r="F441" s="259">
        <v>436</v>
      </c>
      <c r="G441" s="265">
        <v>1234759.5398591915</v>
      </c>
    </row>
    <row r="442" spans="6:7" x14ac:dyDescent="0.25">
      <c r="F442" s="259">
        <v>437</v>
      </c>
      <c r="G442" s="265">
        <v>1132523.7708240617</v>
      </c>
    </row>
    <row r="443" spans="6:7" x14ac:dyDescent="0.25">
      <c r="F443" s="259">
        <v>438</v>
      </c>
      <c r="G443" s="265">
        <v>1456660.940340267</v>
      </c>
    </row>
    <row r="444" spans="6:7" x14ac:dyDescent="0.25">
      <c r="F444" s="259">
        <v>439</v>
      </c>
      <c r="G444" s="265">
        <v>968180.71455365419</v>
      </c>
    </row>
    <row r="445" spans="6:7" x14ac:dyDescent="0.25">
      <c r="F445" s="259">
        <v>440</v>
      </c>
      <c r="G445" s="265">
        <v>991829.22939905757</v>
      </c>
    </row>
    <row r="446" spans="6:7" x14ac:dyDescent="0.25">
      <c r="F446" s="259">
        <v>441</v>
      </c>
      <c r="G446" s="265">
        <v>1643343.4885433894</v>
      </c>
    </row>
    <row r="447" spans="6:7" x14ac:dyDescent="0.25">
      <c r="F447" s="259">
        <v>442</v>
      </c>
      <c r="G447" s="265">
        <v>2052033.502698753</v>
      </c>
    </row>
    <row r="448" spans="6:7" x14ac:dyDescent="0.25">
      <c r="F448" s="259">
        <v>443</v>
      </c>
      <c r="G448" s="265">
        <v>761401.35823643603</v>
      </c>
    </row>
    <row r="449" spans="6:7" x14ac:dyDescent="0.25">
      <c r="F449" s="259">
        <v>444</v>
      </c>
      <c r="G449" s="265">
        <v>639280.91202954063</v>
      </c>
    </row>
    <row r="450" spans="6:7" x14ac:dyDescent="0.25">
      <c r="F450" s="259">
        <v>445</v>
      </c>
      <c r="G450" s="265">
        <v>889593.46036392846</v>
      </c>
    </row>
    <row r="451" spans="6:7" x14ac:dyDescent="0.25">
      <c r="F451" s="259">
        <v>446</v>
      </c>
      <c r="G451" s="265">
        <v>1310785.9138168031</v>
      </c>
    </row>
    <row r="452" spans="6:7" x14ac:dyDescent="0.25">
      <c r="F452" s="259">
        <v>447</v>
      </c>
      <c r="G452" s="265">
        <v>1182487.7462181468</v>
      </c>
    </row>
    <row r="453" spans="6:7" x14ac:dyDescent="0.25">
      <c r="F453" s="259">
        <v>448</v>
      </c>
      <c r="G453" s="265">
        <v>659271.65467247157</v>
      </c>
    </row>
    <row r="454" spans="6:7" x14ac:dyDescent="0.25">
      <c r="F454" s="259">
        <v>449</v>
      </c>
      <c r="G454" s="265">
        <v>1797851.0512195635</v>
      </c>
    </row>
    <row r="455" spans="6:7" x14ac:dyDescent="0.25">
      <c r="F455" s="259">
        <v>450</v>
      </c>
      <c r="G455" s="265">
        <v>1278504.8628186905</v>
      </c>
    </row>
    <row r="456" spans="6:7" x14ac:dyDescent="0.25">
      <c r="F456" s="259">
        <v>451</v>
      </c>
      <c r="G456" s="265">
        <v>1480309.4551856709</v>
      </c>
    </row>
    <row r="457" spans="6:7" x14ac:dyDescent="0.25">
      <c r="F457" s="259">
        <v>452</v>
      </c>
      <c r="G457" s="265">
        <v>925850.47997800843</v>
      </c>
    </row>
    <row r="458" spans="6:7" x14ac:dyDescent="0.25">
      <c r="F458" s="259">
        <v>453</v>
      </c>
      <c r="G458" s="265">
        <v>428737.71803868515</v>
      </c>
    </row>
    <row r="459" spans="6:7" x14ac:dyDescent="0.25">
      <c r="F459" s="259">
        <v>454</v>
      </c>
      <c r="G459" s="265">
        <v>1258514.1201757588</v>
      </c>
    </row>
    <row r="460" spans="6:7" x14ac:dyDescent="0.25">
      <c r="F460" s="259">
        <v>455</v>
      </c>
      <c r="G460" s="265">
        <v>1763009.1199893365</v>
      </c>
    </row>
    <row r="461" spans="6:7" x14ac:dyDescent="0.25">
      <c r="F461" s="259">
        <v>456</v>
      </c>
      <c r="G461" s="265">
        <v>1480309.4551856709</v>
      </c>
    </row>
    <row r="462" spans="6:7" x14ac:dyDescent="0.25">
      <c r="F462" s="259">
        <v>457</v>
      </c>
      <c r="G462" s="265">
        <v>925850.47997800843</v>
      </c>
    </row>
    <row r="463" spans="6:7" x14ac:dyDescent="0.25">
      <c r="F463" s="259">
        <v>458</v>
      </c>
      <c r="G463" s="265">
        <v>1897525.9400225794</v>
      </c>
    </row>
    <row r="464" spans="6:7" x14ac:dyDescent="0.25">
      <c r="F464" s="259">
        <v>459</v>
      </c>
      <c r="G464" s="265">
        <v>1630947.1147170421</v>
      </c>
    </row>
    <row r="465" spans="6:7" x14ac:dyDescent="0.25">
      <c r="F465" s="259">
        <v>460</v>
      </c>
      <c r="G465" s="265">
        <v>1587307.8572287085</v>
      </c>
    </row>
    <row r="466" spans="6:7" x14ac:dyDescent="0.25">
      <c r="F466" s="259">
        <v>461</v>
      </c>
      <c r="G466" s="265">
        <v>1512590.506183784</v>
      </c>
    </row>
    <row r="467" spans="6:7" x14ac:dyDescent="0.25">
      <c r="F467" s="259">
        <v>462</v>
      </c>
      <c r="G467" s="265">
        <v>1763009.1199893365</v>
      </c>
    </row>
    <row r="468" spans="6:7" x14ac:dyDescent="0.25">
      <c r="F468" s="259">
        <v>463</v>
      </c>
      <c r="G468" s="265">
        <v>980683.15385116637</v>
      </c>
    </row>
    <row r="469" spans="6:7" x14ac:dyDescent="0.25">
      <c r="F469" s="259">
        <v>464</v>
      </c>
      <c r="G469" s="265">
        <v>1532475.1833555503</v>
      </c>
    </row>
    <row r="470" spans="6:7" x14ac:dyDescent="0.25">
      <c r="F470" s="259">
        <v>465</v>
      </c>
      <c r="G470" s="265">
        <v>1397958.3633223078</v>
      </c>
    </row>
    <row r="471" spans="6:7" x14ac:dyDescent="0.25">
      <c r="F471" s="259">
        <v>466</v>
      </c>
      <c r="G471" s="265">
        <v>1226127.0037064808</v>
      </c>
    </row>
    <row r="472" spans="6:7" x14ac:dyDescent="0.25">
      <c r="F472" s="259">
        <v>467</v>
      </c>
      <c r="G472" s="265">
        <v>1158839.2313727429</v>
      </c>
    </row>
    <row r="473" spans="6:7" x14ac:dyDescent="0.25">
      <c r="F473" s="259">
        <v>468</v>
      </c>
      <c r="G473" s="265">
        <v>1485178.1536647435</v>
      </c>
    </row>
    <row r="474" spans="6:7" x14ac:dyDescent="0.25">
      <c r="F474" s="259">
        <v>469</v>
      </c>
      <c r="G474" s="265">
        <v>1278398.7973475256</v>
      </c>
    </row>
    <row r="475" spans="6:7" x14ac:dyDescent="0.25">
      <c r="F475" s="259">
        <v>470</v>
      </c>
      <c r="G475" s="265">
        <v>1619694.9736979865</v>
      </c>
    </row>
    <row r="476" spans="6:7" x14ac:dyDescent="0.25">
      <c r="F476" s="259">
        <v>471</v>
      </c>
      <c r="G476" s="265">
        <v>1536345.0865003522</v>
      </c>
    </row>
    <row r="477" spans="6:7" x14ac:dyDescent="0.25">
      <c r="F477" s="259">
        <v>472</v>
      </c>
      <c r="G477" s="265">
        <v>1667204.1343311225</v>
      </c>
    </row>
    <row r="478" spans="6:7" x14ac:dyDescent="0.25">
      <c r="F478" s="259">
        <v>473</v>
      </c>
      <c r="G478" s="265">
        <v>1123891.234671352</v>
      </c>
    </row>
    <row r="479" spans="6:7" x14ac:dyDescent="0.25">
      <c r="F479" s="259">
        <v>474</v>
      </c>
      <c r="G479" s="265">
        <v>893463.36350872996</v>
      </c>
    </row>
    <row r="480" spans="6:7" x14ac:dyDescent="0.25">
      <c r="F480" s="259">
        <v>475</v>
      </c>
      <c r="G480" s="265">
        <v>1587307.8572287085</v>
      </c>
    </row>
    <row r="481" spans="6:7" x14ac:dyDescent="0.25">
      <c r="F481" s="259">
        <v>476</v>
      </c>
      <c r="G481" s="265">
        <v>504764.09199629817</v>
      </c>
    </row>
    <row r="482" spans="6:7" x14ac:dyDescent="0.25">
      <c r="F482" s="259">
        <v>477</v>
      </c>
      <c r="G482" s="265">
        <v>1410460.8026198195</v>
      </c>
    </row>
    <row r="483" spans="6:7" x14ac:dyDescent="0.25">
      <c r="F483" s="259">
        <v>478</v>
      </c>
      <c r="G483" s="265">
        <v>1432906.3600236992</v>
      </c>
    </row>
    <row r="484" spans="6:7" x14ac:dyDescent="0.25">
      <c r="F484" s="259">
        <v>479</v>
      </c>
      <c r="G484" s="265">
        <v>1841490.3087078976</v>
      </c>
    </row>
    <row r="485" spans="6:7" x14ac:dyDescent="0.25">
      <c r="F485" s="259">
        <v>480</v>
      </c>
      <c r="G485" s="265">
        <v>1258514.1201757588</v>
      </c>
    </row>
    <row r="486" spans="6:7" x14ac:dyDescent="0.25">
      <c r="F486" s="259">
        <v>481</v>
      </c>
      <c r="G486" s="265">
        <v>793788.47470571427</v>
      </c>
    </row>
    <row r="487" spans="6:7" x14ac:dyDescent="0.25">
      <c r="F487" s="259">
        <v>482</v>
      </c>
      <c r="G487" s="265">
        <v>1167530.4921596861</v>
      </c>
    </row>
    <row r="488" spans="6:7" x14ac:dyDescent="0.25">
      <c r="F488" s="259">
        <v>483</v>
      </c>
      <c r="G488" s="265">
        <v>1047970.9261849038</v>
      </c>
    </row>
    <row r="489" spans="6:7" x14ac:dyDescent="0.25">
      <c r="F489" s="259">
        <v>484</v>
      </c>
      <c r="G489" s="265">
        <v>1921280.5203391472</v>
      </c>
    </row>
    <row r="490" spans="6:7" x14ac:dyDescent="0.25">
      <c r="F490" s="259">
        <v>485</v>
      </c>
      <c r="G490" s="265">
        <v>1476439.5520408684</v>
      </c>
    </row>
    <row r="491" spans="6:7" x14ac:dyDescent="0.25">
      <c r="F491" s="259">
        <v>486</v>
      </c>
      <c r="G491" s="265">
        <v>1047970.9261849038</v>
      </c>
    </row>
    <row r="492" spans="6:7" x14ac:dyDescent="0.25">
      <c r="F492" s="259">
        <v>487</v>
      </c>
      <c r="G492" s="265">
        <v>761401.35823643603</v>
      </c>
    </row>
    <row r="493" spans="6:7" x14ac:dyDescent="0.25">
      <c r="F493" s="259">
        <v>488</v>
      </c>
      <c r="G493" s="265">
        <v>1795396.2364586149</v>
      </c>
    </row>
    <row r="494" spans="6:7" x14ac:dyDescent="0.25">
      <c r="F494" s="259">
        <v>489</v>
      </c>
      <c r="G494" s="265">
        <v>1710737.3263482922</v>
      </c>
    </row>
    <row r="495" spans="6:7" x14ac:dyDescent="0.25">
      <c r="F495" s="259">
        <v>490</v>
      </c>
      <c r="G495" s="265">
        <v>1465187.4110218124</v>
      </c>
    </row>
    <row r="496" spans="6:7" x14ac:dyDescent="0.25">
      <c r="F496" s="259">
        <v>491</v>
      </c>
      <c r="G496" s="265">
        <v>1091610.1836732384</v>
      </c>
    </row>
    <row r="497" spans="6:7" x14ac:dyDescent="0.25">
      <c r="F497" s="259">
        <v>492</v>
      </c>
      <c r="G497" s="265">
        <v>813673.15187748033</v>
      </c>
    </row>
    <row r="498" spans="6:7" x14ac:dyDescent="0.25">
      <c r="F498" s="259">
        <v>493</v>
      </c>
      <c r="G498" s="265">
        <v>1302153.3776640934</v>
      </c>
    </row>
    <row r="499" spans="6:7" x14ac:dyDescent="0.25">
      <c r="F499" s="259">
        <v>494</v>
      </c>
      <c r="G499" s="265">
        <v>846060.26834675879</v>
      </c>
    </row>
    <row r="500" spans="6:7" x14ac:dyDescent="0.25">
      <c r="F500" s="259">
        <v>495</v>
      </c>
      <c r="G500" s="265">
        <v>1071619.4410303072</v>
      </c>
    </row>
    <row r="501" spans="6:7" x14ac:dyDescent="0.25">
      <c r="F501" s="259">
        <v>496</v>
      </c>
      <c r="G501" s="265">
        <v>1567423.1800569417</v>
      </c>
    </row>
    <row r="502" spans="6:7" x14ac:dyDescent="0.25">
      <c r="F502" s="259">
        <v>497</v>
      </c>
      <c r="G502" s="265">
        <v>1654701.6950336103</v>
      </c>
    </row>
    <row r="503" spans="6:7" x14ac:dyDescent="0.25">
      <c r="F503" s="259">
        <v>498</v>
      </c>
      <c r="G503" s="265">
        <v>1067749.5378855052</v>
      </c>
    </row>
    <row r="504" spans="6:7" x14ac:dyDescent="0.25">
      <c r="F504" s="259">
        <v>499</v>
      </c>
      <c r="G504" s="265">
        <v>250581.64051710838</v>
      </c>
    </row>
    <row r="505" spans="6:7" x14ac:dyDescent="0.25">
      <c r="F505" s="259">
        <v>500</v>
      </c>
      <c r="G505" s="265">
        <v>913348.04068049625</v>
      </c>
    </row>
    <row r="506" spans="6:7" x14ac:dyDescent="0.25">
      <c r="F506" s="259">
        <v>501</v>
      </c>
      <c r="G506" s="265">
        <v>1202478.4888610775</v>
      </c>
    </row>
    <row r="507" spans="6:7" x14ac:dyDescent="0.25">
      <c r="F507" s="259">
        <v>502</v>
      </c>
      <c r="G507" s="265">
        <v>1080251.9771830174</v>
      </c>
    </row>
    <row r="508" spans="6:7" x14ac:dyDescent="0.25">
      <c r="F508" s="259">
        <v>503</v>
      </c>
      <c r="G508" s="265">
        <v>1436670.1976973363</v>
      </c>
    </row>
    <row r="509" spans="6:7" x14ac:dyDescent="0.25">
      <c r="F509" s="259">
        <v>504</v>
      </c>
      <c r="G509" s="265">
        <v>1015583.8097156254</v>
      </c>
    </row>
    <row r="510" spans="6:7" x14ac:dyDescent="0.25">
      <c r="F510" s="259">
        <v>505</v>
      </c>
      <c r="G510" s="265">
        <v>1941165.1975109139</v>
      </c>
    </row>
    <row r="511" spans="6:7" x14ac:dyDescent="0.25">
      <c r="F511" s="259">
        <v>506</v>
      </c>
      <c r="G511" s="265">
        <v>1356879.9860660867</v>
      </c>
    </row>
    <row r="512" spans="6:7" x14ac:dyDescent="0.25">
      <c r="F512" s="259">
        <v>507</v>
      </c>
      <c r="G512" s="265">
        <v>813673.15187748033</v>
      </c>
    </row>
    <row r="513" spans="6:7" x14ac:dyDescent="0.25">
      <c r="F513" s="259">
        <v>508</v>
      </c>
      <c r="G513" s="265">
        <v>1949903.7991347886</v>
      </c>
    </row>
    <row r="514" spans="6:7" x14ac:dyDescent="0.25">
      <c r="F514" s="259">
        <v>509</v>
      </c>
      <c r="G514" s="265">
        <v>1015583.8097156254</v>
      </c>
    </row>
    <row r="515" spans="6:7" x14ac:dyDescent="0.25">
      <c r="F515" s="259">
        <v>510</v>
      </c>
      <c r="G515" s="265">
        <v>1786657.6348347403</v>
      </c>
    </row>
    <row r="516" spans="6:7" x14ac:dyDescent="0.25">
      <c r="F516" s="259">
        <v>511</v>
      </c>
      <c r="G516" s="265">
        <v>971944.55222729174</v>
      </c>
    </row>
    <row r="517" spans="6:7" x14ac:dyDescent="0.25">
      <c r="F517" s="259">
        <v>512</v>
      </c>
      <c r="G517" s="265">
        <v>461124.83450796362</v>
      </c>
    </row>
    <row r="518" spans="6:7" x14ac:dyDescent="0.25">
      <c r="F518" s="259">
        <v>513</v>
      </c>
      <c r="G518" s="265">
        <v>1797851.0512195635</v>
      </c>
    </row>
    <row r="519" spans="6:7" x14ac:dyDescent="0.25">
      <c r="F519" s="259">
        <v>514</v>
      </c>
      <c r="G519" s="265">
        <v>1485178.1536647435</v>
      </c>
    </row>
    <row r="520" spans="6:7" x14ac:dyDescent="0.25">
      <c r="F520" s="259">
        <v>515</v>
      </c>
      <c r="G520" s="265">
        <v>1091610.1836732384</v>
      </c>
    </row>
    <row r="521" spans="6:7" x14ac:dyDescent="0.25">
      <c r="F521" s="259">
        <v>516</v>
      </c>
      <c r="G521" s="265">
        <v>1132523.7708240617</v>
      </c>
    </row>
    <row r="522" spans="6:7" x14ac:dyDescent="0.25">
      <c r="F522" s="259">
        <v>517</v>
      </c>
      <c r="G522" s="265">
        <v>1123997.3001425164</v>
      </c>
    </row>
    <row r="523" spans="6:7" x14ac:dyDescent="0.25">
      <c r="F523" s="259">
        <v>518</v>
      </c>
      <c r="G523" s="265">
        <v>2151708.391501769</v>
      </c>
    </row>
    <row r="524" spans="6:7" x14ac:dyDescent="0.25">
      <c r="F524" s="259">
        <v>519</v>
      </c>
      <c r="G524" s="265">
        <v>1147645.8149879198</v>
      </c>
    </row>
    <row r="525" spans="6:7" x14ac:dyDescent="0.25">
      <c r="F525" s="259">
        <v>520</v>
      </c>
      <c r="G525" s="265">
        <v>837427.73219404859</v>
      </c>
    </row>
    <row r="526" spans="6:7" x14ac:dyDescent="0.25">
      <c r="F526" s="259">
        <v>521</v>
      </c>
      <c r="G526" s="265">
        <v>1258514.1201757588</v>
      </c>
    </row>
    <row r="527" spans="6:7" x14ac:dyDescent="0.25">
      <c r="F527" s="259">
        <v>522</v>
      </c>
      <c r="G527" s="265">
        <v>659271.65467247157</v>
      </c>
    </row>
    <row r="528" spans="6:7" x14ac:dyDescent="0.25">
      <c r="F528" s="259">
        <v>523</v>
      </c>
      <c r="G528" s="265">
        <v>1512696.5716549484</v>
      </c>
    </row>
    <row r="529" spans="6:7" x14ac:dyDescent="0.25">
      <c r="F529" s="259">
        <v>524</v>
      </c>
      <c r="G529" s="265">
        <v>635517.07435590355</v>
      </c>
    </row>
    <row r="530" spans="6:7" x14ac:dyDescent="0.25">
      <c r="F530" s="259">
        <v>525</v>
      </c>
      <c r="G530" s="265">
        <v>1047970.9261849038</v>
      </c>
    </row>
    <row r="531" spans="6:7" x14ac:dyDescent="0.25">
      <c r="F531" s="259">
        <v>526</v>
      </c>
      <c r="G531" s="265">
        <v>1156278.3511406295</v>
      </c>
    </row>
    <row r="532" spans="6:7" x14ac:dyDescent="0.25">
      <c r="F532" s="259">
        <v>527</v>
      </c>
      <c r="G532" s="265">
        <v>1508826.6685101469</v>
      </c>
    </row>
    <row r="533" spans="6:7" x14ac:dyDescent="0.25">
      <c r="F533" s="259">
        <v>528</v>
      </c>
      <c r="G533" s="265">
        <v>1611062.4375452758</v>
      </c>
    </row>
    <row r="534" spans="6:7" x14ac:dyDescent="0.25">
      <c r="F534" s="259">
        <v>529</v>
      </c>
      <c r="G534" s="265">
        <v>1330670.5909885699</v>
      </c>
    </row>
    <row r="535" spans="6:7" x14ac:dyDescent="0.25">
      <c r="F535" s="259">
        <v>530</v>
      </c>
      <c r="G535" s="265">
        <v>869814.84866332682</v>
      </c>
    </row>
    <row r="536" spans="6:7" x14ac:dyDescent="0.25">
      <c r="F536" s="259">
        <v>531</v>
      </c>
      <c r="G536" s="265">
        <v>1587307.8572287085</v>
      </c>
    </row>
    <row r="537" spans="6:7" x14ac:dyDescent="0.25">
      <c r="F537" s="259">
        <v>532</v>
      </c>
      <c r="G537" s="265">
        <v>1686982.7460317239</v>
      </c>
    </row>
    <row r="538" spans="6:7" x14ac:dyDescent="0.25">
      <c r="F538" s="259">
        <v>533</v>
      </c>
      <c r="G538" s="265">
        <v>1873877.4251771756</v>
      </c>
    </row>
    <row r="539" spans="6:7" x14ac:dyDescent="0.25">
      <c r="F539" s="259">
        <v>534</v>
      </c>
      <c r="G539" s="265">
        <v>790024.63703207718</v>
      </c>
    </row>
    <row r="540" spans="6:7" x14ac:dyDescent="0.25">
      <c r="F540" s="259">
        <v>535</v>
      </c>
      <c r="G540" s="265">
        <v>2075788.0830153208</v>
      </c>
    </row>
    <row r="541" spans="6:7" x14ac:dyDescent="0.25">
      <c r="F541" s="259">
        <v>536</v>
      </c>
      <c r="G541" s="265">
        <v>1865244.8890244658</v>
      </c>
    </row>
    <row r="542" spans="6:7" x14ac:dyDescent="0.25">
      <c r="F542" s="259">
        <v>537</v>
      </c>
      <c r="G542" s="265">
        <v>913454.1061516609</v>
      </c>
    </row>
    <row r="543" spans="6:7" x14ac:dyDescent="0.25">
      <c r="F543" s="259">
        <v>538</v>
      </c>
      <c r="G543" s="265">
        <v>1949903.7991347886</v>
      </c>
    </row>
    <row r="544" spans="6:7" x14ac:dyDescent="0.25">
      <c r="F544" s="259">
        <v>539</v>
      </c>
      <c r="G544" s="265">
        <v>849824.10602039564</v>
      </c>
    </row>
    <row r="545" spans="6:7" x14ac:dyDescent="0.25">
      <c r="F545" s="259">
        <v>540</v>
      </c>
      <c r="G545" s="265">
        <v>1630947.1147170421</v>
      </c>
    </row>
    <row r="546" spans="6:7" x14ac:dyDescent="0.25">
      <c r="F546" s="259">
        <v>541</v>
      </c>
      <c r="G546" s="265">
        <v>1412915.6173807676</v>
      </c>
    </row>
    <row r="547" spans="6:7" x14ac:dyDescent="0.25">
      <c r="F547" s="259">
        <v>542</v>
      </c>
      <c r="G547" s="265">
        <v>1873877.4251771756</v>
      </c>
    </row>
    <row r="548" spans="6:7" x14ac:dyDescent="0.25">
      <c r="F548" s="259">
        <v>543</v>
      </c>
      <c r="G548" s="265">
        <v>1567423.1800569417</v>
      </c>
    </row>
    <row r="549" spans="6:7" x14ac:dyDescent="0.25">
      <c r="F549" s="259">
        <v>544</v>
      </c>
      <c r="G549" s="265">
        <v>1480309.4551856709</v>
      </c>
    </row>
    <row r="550" spans="6:7" x14ac:dyDescent="0.25">
      <c r="F550" s="259">
        <v>545</v>
      </c>
      <c r="G550" s="265">
        <v>2128059.8766563651</v>
      </c>
    </row>
    <row r="551" spans="6:7" x14ac:dyDescent="0.25">
      <c r="F551" s="259">
        <v>546</v>
      </c>
      <c r="G551" s="265">
        <v>1488835.9258672162</v>
      </c>
    </row>
    <row r="552" spans="6:7" x14ac:dyDescent="0.25">
      <c r="F552" s="259">
        <v>547</v>
      </c>
      <c r="G552" s="265">
        <v>1528817.4111530776</v>
      </c>
    </row>
    <row r="553" spans="6:7" x14ac:dyDescent="0.25">
      <c r="F553" s="259">
        <v>548</v>
      </c>
      <c r="G553" s="265">
        <v>1067749.5378855052</v>
      </c>
    </row>
    <row r="554" spans="6:7" x14ac:dyDescent="0.25">
      <c r="F554" s="259">
        <v>549</v>
      </c>
      <c r="G554" s="265">
        <v>1380634.5663826545</v>
      </c>
    </row>
    <row r="555" spans="6:7" x14ac:dyDescent="0.25">
      <c r="F555" s="259">
        <v>550</v>
      </c>
      <c r="G555" s="265">
        <v>1044207.0885112667</v>
      </c>
    </row>
    <row r="556" spans="6:7" x14ac:dyDescent="0.25">
      <c r="F556" s="259">
        <v>551</v>
      </c>
      <c r="G556" s="265">
        <v>405089.20319328201</v>
      </c>
    </row>
    <row r="557" spans="6:7" x14ac:dyDescent="0.25">
      <c r="F557" s="259">
        <v>552</v>
      </c>
      <c r="G557" s="265">
        <v>1686982.7460317239</v>
      </c>
    </row>
    <row r="558" spans="6:7" x14ac:dyDescent="0.25">
      <c r="F558" s="259">
        <v>553</v>
      </c>
      <c r="G558" s="265">
        <v>2052033.502698753</v>
      </c>
    </row>
    <row r="559" spans="6:7" x14ac:dyDescent="0.25">
      <c r="F559" s="259">
        <v>554</v>
      </c>
      <c r="G559" s="265">
        <v>1222257.1005616793</v>
      </c>
    </row>
    <row r="560" spans="6:7" x14ac:dyDescent="0.25">
      <c r="F560" s="259">
        <v>555</v>
      </c>
      <c r="G560" s="265">
        <v>1230995.702185554</v>
      </c>
    </row>
    <row r="561" spans="6:7" x14ac:dyDescent="0.25">
      <c r="F561" s="259">
        <v>556</v>
      </c>
      <c r="G561" s="265">
        <v>635517.07435590355</v>
      </c>
    </row>
    <row r="562" spans="6:7" x14ac:dyDescent="0.25">
      <c r="F562" s="259">
        <v>557</v>
      </c>
      <c r="G562" s="265">
        <v>813779.21734864498</v>
      </c>
    </row>
    <row r="563" spans="6:7" x14ac:dyDescent="0.25">
      <c r="F563" s="259">
        <v>558</v>
      </c>
      <c r="G563" s="265">
        <v>991935.29487022222</v>
      </c>
    </row>
    <row r="564" spans="6:7" x14ac:dyDescent="0.25">
      <c r="F564" s="259">
        <v>559</v>
      </c>
      <c r="G564" s="265">
        <v>1000567.8310229322</v>
      </c>
    </row>
    <row r="565" spans="6:7" x14ac:dyDescent="0.25">
      <c r="F565" s="259">
        <v>560</v>
      </c>
      <c r="G565" s="265">
        <v>1400519.2435544208</v>
      </c>
    </row>
    <row r="566" spans="6:7" x14ac:dyDescent="0.25">
      <c r="F566" s="259">
        <v>561</v>
      </c>
      <c r="G566" s="265">
        <v>1047970.9261849038</v>
      </c>
    </row>
    <row r="567" spans="6:7" x14ac:dyDescent="0.25">
      <c r="F567" s="259">
        <v>562</v>
      </c>
      <c r="G567" s="265">
        <v>915908.92091260967</v>
      </c>
    </row>
    <row r="568" spans="6:7" x14ac:dyDescent="0.25">
      <c r="F568" s="259">
        <v>563</v>
      </c>
      <c r="G568" s="265">
        <v>1743018.3773464058</v>
      </c>
    </row>
    <row r="569" spans="6:7" x14ac:dyDescent="0.25">
      <c r="F569" s="259">
        <v>564</v>
      </c>
      <c r="G569" s="265">
        <v>1465187.4110218124</v>
      </c>
    </row>
    <row r="570" spans="6:7" x14ac:dyDescent="0.25">
      <c r="F570" s="259">
        <v>565</v>
      </c>
      <c r="G570" s="265">
        <v>1500194.1323574367</v>
      </c>
    </row>
    <row r="571" spans="6:7" x14ac:dyDescent="0.25">
      <c r="F571" s="259">
        <v>566</v>
      </c>
      <c r="G571" s="265">
        <v>1432906.3600236992</v>
      </c>
    </row>
    <row r="572" spans="6:7" x14ac:dyDescent="0.25">
      <c r="F572" s="259">
        <v>567</v>
      </c>
      <c r="G572" s="265">
        <v>615632.39718413749</v>
      </c>
    </row>
    <row r="573" spans="6:7" x14ac:dyDescent="0.25">
      <c r="F573" s="259">
        <v>568</v>
      </c>
      <c r="G573" s="265">
        <v>1500194.1323574367</v>
      </c>
    </row>
    <row r="574" spans="6:7" x14ac:dyDescent="0.25">
      <c r="F574" s="259">
        <v>569</v>
      </c>
      <c r="G574" s="265">
        <v>1198608.585716276</v>
      </c>
    </row>
    <row r="575" spans="6:7" x14ac:dyDescent="0.25">
      <c r="F575" s="259">
        <v>570</v>
      </c>
      <c r="G575" s="265">
        <v>1167530.4921596861</v>
      </c>
    </row>
    <row r="576" spans="6:7" x14ac:dyDescent="0.25">
      <c r="F576" s="259">
        <v>571</v>
      </c>
      <c r="G576" s="265">
        <v>813779.21734864498</v>
      </c>
    </row>
    <row r="577" spans="6:7" x14ac:dyDescent="0.25">
      <c r="F577" s="259">
        <v>572</v>
      </c>
      <c r="G577" s="265">
        <v>559596.76586945541</v>
      </c>
    </row>
    <row r="578" spans="6:7" x14ac:dyDescent="0.25">
      <c r="F578" s="259">
        <v>573</v>
      </c>
      <c r="G578" s="265">
        <v>1067749.5378855052</v>
      </c>
    </row>
    <row r="579" spans="6:7" x14ac:dyDescent="0.25">
      <c r="F579" s="259">
        <v>574</v>
      </c>
      <c r="G579" s="265">
        <v>1389267.1025353647</v>
      </c>
    </row>
    <row r="580" spans="6:7" x14ac:dyDescent="0.25">
      <c r="F580" s="259">
        <v>575</v>
      </c>
      <c r="G580" s="265">
        <v>1356879.9860660867</v>
      </c>
    </row>
    <row r="581" spans="6:7" x14ac:dyDescent="0.25">
      <c r="F581" s="259">
        <v>576</v>
      </c>
      <c r="G581" s="265">
        <v>1115258.6985186413</v>
      </c>
    </row>
    <row r="582" spans="6:7" x14ac:dyDescent="0.25">
      <c r="F582" s="259">
        <v>577</v>
      </c>
      <c r="G582" s="265">
        <v>1630947.1147170421</v>
      </c>
    </row>
    <row r="583" spans="6:7" x14ac:dyDescent="0.25">
      <c r="F583" s="259">
        <v>578</v>
      </c>
      <c r="G583" s="265">
        <v>1743124.4428175702</v>
      </c>
    </row>
    <row r="584" spans="6:7" x14ac:dyDescent="0.25">
      <c r="F584" s="259">
        <v>579</v>
      </c>
      <c r="G584" s="265">
        <v>761401.35823643603</v>
      </c>
    </row>
    <row r="585" spans="6:7" x14ac:dyDescent="0.25">
      <c r="F585" s="259">
        <v>580</v>
      </c>
      <c r="G585" s="265">
        <v>1430345.4797915858</v>
      </c>
    </row>
    <row r="586" spans="6:7" x14ac:dyDescent="0.25">
      <c r="F586" s="259">
        <v>581</v>
      </c>
      <c r="G586" s="265">
        <v>1234865.6053303559</v>
      </c>
    </row>
    <row r="587" spans="6:7" x14ac:dyDescent="0.25">
      <c r="F587" s="259">
        <v>582</v>
      </c>
      <c r="G587" s="265">
        <v>1576114.4408438844</v>
      </c>
    </row>
    <row r="588" spans="6:7" x14ac:dyDescent="0.25">
      <c r="F588" s="259">
        <v>583</v>
      </c>
      <c r="G588" s="265">
        <v>1465187.4110218124</v>
      </c>
    </row>
    <row r="589" spans="6:7" x14ac:dyDescent="0.25">
      <c r="F589" s="259">
        <v>584</v>
      </c>
      <c r="G589" s="265">
        <v>1115258.6985186413</v>
      </c>
    </row>
    <row r="590" spans="6:7" x14ac:dyDescent="0.25">
      <c r="F590" s="259">
        <v>585</v>
      </c>
      <c r="G590" s="265">
        <v>2052033.502698753</v>
      </c>
    </row>
    <row r="591" spans="6:7" x14ac:dyDescent="0.25">
      <c r="F591" s="259">
        <v>586</v>
      </c>
      <c r="G591" s="265">
        <v>1786657.6348347403</v>
      </c>
    </row>
    <row r="592" spans="6:7" x14ac:dyDescent="0.25">
      <c r="F592" s="259">
        <v>587</v>
      </c>
      <c r="G592" s="265">
        <v>1400519.2435544208</v>
      </c>
    </row>
    <row r="593" spans="6:7" x14ac:dyDescent="0.25">
      <c r="F593" s="259">
        <v>588</v>
      </c>
      <c r="G593" s="265">
        <v>737752.84339103266</v>
      </c>
    </row>
    <row r="594" spans="6:7" x14ac:dyDescent="0.25">
      <c r="F594" s="259">
        <v>589</v>
      </c>
      <c r="G594" s="265">
        <v>1630947.1147170421</v>
      </c>
    </row>
    <row r="595" spans="6:7" x14ac:dyDescent="0.25">
      <c r="F595" s="259">
        <v>590</v>
      </c>
      <c r="G595" s="265">
        <v>1146336.7920752317</v>
      </c>
    </row>
    <row r="596" spans="6:7" x14ac:dyDescent="0.25">
      <c r="F596" s="259">
        <v>591</v>
      </c>
      <c r="G596" s="265">
        <v>837321.66672288394</v>
      </c>
    </row>
    <row r="597" spans="6:7" x14ac:dyDescent="0.25">
      <c r="F597" s="259">
        <v>592</v>
      </c>
      <c r="G597" s="265">
        <v>869814.84866332682</v>
      </c>
    </row>
    <row r="598" spans="6:7" x14ac:dyDescent="0.25">
      <c r="F598" s="259">
        <v>593</v>
      </c>
      <c r="G598" s="265">
        <v>1643449.5540145542</v>
      </c>
    </row>
    <row r="599" spans="6:7" x14ac:dyDescent="0.25">
      <c r="F599" s="259">
        <v>594</v>
      </c>
      <c r="G599" s="265">
        <v>1576114.4408438844</v>
      </c>
    </row>
    <row r="600" spans="6:7" x14ac:dyDescent="0.25">
      <c r="F600" s="259">
        <v>595</v>
      </c>
      <c r="G600" s="265">
        <v>1441538.896176409</v>
      </c>
    </row>
    <row r="601" spans="6:7" x14ac:dyDescent="0.25">
      <c r="F601" s="259">
        <v>596</v>
      </c>
      <c r="G601" s="265">
        <v>1056603.462337614</v>
      </c>
    </row>
    <row r="602" spans="6:7" x14ac:dyDescent="0.25">
      <c r="F602" s="259">
        <v>597</v>
      </c>
      <c r="G602" s="265">
        <v>1841490.3087078976</v>
      </c>
    </row>
    <row r="603" spans="6:7" x14ac:dyDescent="0.25">
      <c r="F603" s="259">
        <v>598</v>
      </c>
      <c r="G603" s="265">
        <v>1873877.4251771756</v>
      </c>
    </row>
    <row r="604" spans="6:7" x14ac:dyDescent="0.25">
      <c r="F604" s="259">
        <v>599</v>
      </c>
      <c r="G604" s="265">
        <v>606893.79556026217</v>
      </c>
    </row>
    <row r="605" spans="6:7" x14ac:dyDescent="0.25">
      <c r="F605" s="259">
        <v>600</v>
      </c>
      <c r="G605" s="265">
        <v>583245.28071485902</v>
      </c>
    </row>
    <row r="606" spans="6:7" x14ac:dyDescent="0.25">
      <c r="F606" s="259">
        <v>601</v>
      </c>
      <c r="G606" s="265">
        <v>1180032.9314571982</v>
      </c>
    </row>
    <row r="607" spans="6:7" x14ac:dyDescent="0.25">
      <c r="F607" s="259">
        <v>602</v>
      </c>
      <c r="G607" s="265">
        <v>1410460.8026198195</v>
      </c>
    </row>
    <row r="608" spans="6:7" x14ac:dyDescent="0.25">
      <c r="F608" s="259">
        <v>603</v>
      </c>
      <c r="G608" s="265">
        <v>1115258.6985186413</v>
      </c>
    </row>
    <row r="609" spans="6:7" x14ac:dyDescent="0.25">
      <c r="F609" s="259">
        <v>604</v>
      </c>
      <c r="G609" s="265">
        <v>1354425.1713051377</v>
      </c>
    </row>
    <row r="610" spans="6:7" x14ac:dyDescent="0.25">
      <c r="F610" s="259">
        <v>605</v>
      </c>
      <c r="G610" s="265">
        <v>1334434.428662207</v>
      </c>
    </row>
    <row r="611" spans="6:7" x14ac:dyDescent="0.25">
      <c r="F611" s="259">
        <v>606</v>
      </c>
      <c r="G611" s="265">
        <v>1489048.0568095455</v>
      </c>
    </row>
    <row r="612" spans="6:7" x14ac:dyDescent="0.25">
      <c r="F612" s="259">
        <v>607</v>
      </c>
      <c r="G612" s="265">
        <v>1100242.7198259481</v>
      </c>
    </row>
    <row r="613" spans="6:7" x14ac:dyDescent="0.25">
      <c r="F613" s="259">
        <v>608</v>
      </c>
      <c r="G613" s="265">
        <v>2151708.391501769</v>
      </c>
    </row>
    <row r="614" spans="6:7" x14ac:dyDescent="0.25">
      <c r="F614" s="259">
        <v>609</v>
      </c>
      <c r="G614" s="265">
        <v>1643343.4885433894</v>
      </c>
    </row>
    <row r="615" spans="6:7" x14ac:dyDescent="0.25">
      <c r="F615" s="259">
        <v>610</v>
      </c>
      <c r="G615" s="265">
        <v>1024322.4113395005</v>
      </c>
    </row>
    <row r="616" spans="6:7" x14ac:dyDescent="0.25">
      <c r="F616" s="259">
        <v>611</v>
      </c>
      <c r="G616" s="265">
        <v>615632.39718413749</v>
      </c>
    </row>
    <row r="617" spans="6:7" x14ac:dyDescent="0.25">
      <c r="F617" s="259">
        <v>612</v>
      </c>
      <c r="G617" s="265">
        <v>1178723.9085445097</v>
      </c>
    </row>
    <row r="618" spans="6:7" x14ac:dyDescent="0.25">
      <c r="F618" s="259">
        <v>613</v>
      </c>
      <c r="G618" s="265">
        <v>639280.91202954063</v>
      </c>
    </row>
    <row r="619" spans="6:7" x14ac:dyDescent="0.25">
      <c r="F619" s="259">
        <v>614</v>
      </c>
      <c r="G619" s="265">
        <v>1897632.0054937438</v>
      </c>
    </row>
    <row r="620" spans="6:7" x14ac:dyDescent="0.25">
      <c r="F620" s="259">
        <v>615</v>
      </c>
      <c r="G620" s="265">
        <v>615632.39718413749</v>
      </c>
    </row>
    <row r="621" spans="6:7" x14ac:dyDescent="0.25">
      <c r="F621" s="259">
        <v>616</v>
      </c>
      <c r="G621" s="265">
        <v>1587307.8572287085</v>
      </c>
    </row>
    <row r="622" spans="6:7" x14ac:dyDescent="0.25">
      <c r="F622" s="259">
        <v>617</v>
      </c>
      <c r="G622" s="265">
        <v>1654701.6950336103</v>
      </c>
    </row>
    <row r="623" spans="6:7" x14ac:dyDescent="0.25">
      <c r="F623" s="259">
        <v>618</v>
      </c>
      <c r="G623" s="265">
        <v>1845360.2118526995</v>
      </c>
    </row>
    <row r="624" spans="6:7" x14ac:dyDescent="0.25">
      <c r="F624" s="259">
        <v>619</v>
      </c>
      <c r="G624" s="265">
        <v>2306215.9541779426</v>
      </c>
    </row>
    <row r="625" spans="6:7" x14ac:dyDescent="0.25">
      <c r="F625" s="259">
        <v>620</v>
      </c>
      <c r="G625" s="265">
        <v>1254644.2170309569</v>
      </c>
    </row>
    <row r="626" spans="6:7" x14ac:dyDescent="0.25">
      <c r="F626" s="259">
        <v>621</v>
      </c>
      <c r="G626" s="265">
        <v>1413021.6828519325</v>
      </c>
    </row>
    <row r="627" spans="6:7" x14ac:dyDescent="0.25">
      <c r="F627" s="259">
        <v>622</v>
      </c>
      <c r="G627" s="265">
        <v>659271.65467247157</v>
      </c>
    </row>
    <row r="628" spans="6:7" x14ac:dyDescent="0.25">
      <c r="F628" s="259">
        <v>623</v>
      </c>
      <c r="G628" s="265">
        <v>1532581.2488267152</v>
      </c>
    </row>
    <row r="629" spans="6:7" x14ac:dyDescent="0.25">
      <c r="F629" s="259">
        <v>624</v>
      </c>
      <c r="G629" s="265">
        <v>826175.5911749925</v>
      </c>
    </row>
    <row r="630" spans="6:7" x14ac:dyDescent="0.25">
      <c r="F630" s="259">
        <v>625</v>
      </c>
      <c r="G630" s="265">
        <v>1795396.2364586149</v>
      </c>
    </row>
    <row r="631" spans="6:7" x14ac:dyDescent="0.25">
      <c r="F631" s="259">
        <v>626</v>
      </c>
      <c r="G631" s="265">
        <v>1654701.6950336103</v>
      </c>
    </row>
    <row r="632" spans="6:7" x14ac:dyDescent="0.25">
      <c r="F632" s="259">
        <v>627</v>
      </c>
      <c r="G632" s="265">
        <v>1719475.9279721668</v>
      </c>
    </row>
    <row r="633" spans="6:7" x14ac:dyDescent="0.25">
      <c r="F633" s="259">
        <v>628</v>
      </c>
      <c r="G633" s="265">
        <v>1322038.0548358597</v>
      </c>
    </row>
    <row r="634" spans="6:7" x14ac:dyDescent="0.25">
      <c r="F634" s="259">
        <v>629</v>
      </c>
      <c r="G634" s="265">
        <v>1921280.5203391472</v>
      </c>
    </row>
    <row r="635" spans="6:7" x14ac:dyDescent="0.25">
      <c r="F635" s="259">
        <v>630</v>
      </c>
      <c r="G635" s="265">
        <v>1198608.585716276</v>
      </c>
    </row>
    <row r="636" spans="6:7" x14ac:dyDescent="0.25">
      <c r="F636" s="259">
        <v>631</v>
      </c>
      <c r="G636" s="265">
        <v>1552465.9259984815</v>
      </c>
    </row>
    <row r="637" spans="6:7" x14ac:dyDescent="0.25">
      <c r="F637" s="259">
        <v>632</v>
      </c>
      <c r="G637" s="265">
        <v>1845360.2118526995</v>
      </c>
    </row>
    <row r="638" spans="6:7" x14ac:dyDescent="0.25">
      <c r="F638" s="259">
        <v>633</v>
      </c>
      <c r="G638" s="265">
        <v>1100242.7198259481</v>
      </c>
    </row>
    <row r="639" spans="6:7" x14ac:dyDescent="0.25">
      <c r="F639" s="259">
        <v>634</v>
      </c>
      <c r="G639" s="265">
        <v>1354425.1713051377</v>
      </c>
    </row>
    <row r="640" spans="6:7" x14ac:dyDescent="0.25">
      <c r="F640" s="259">
        <v>635</v>
      </c>
      <c r="G640" s="265">
        <v>817436.98955111788</v>
      </c>
    </row>
    <row r="641" spans="6:7" x14ac:dyDescent="0.25">
      <c r="F641" s="259">
        <v>636</v>
      </c>
      <c r="G641" s="265">
        <v>1143881.9773142827</v>
      </c>
    </row>
    <row r="642" spans="6:7" x14ac:dyDescent="0.25">
      <c r="F642" s="259">
        <v>637</v>
      </c>
      <c r="G642" s="265">
        <v>889699.52583509311</v>
      </c>
    </row>
    <row r="643" spans="6:7" x14ac:dyDescent="0.25">
      <c r="F643" s="259">
        <v>638</v>
      </c>
      <c r="G643" s="265">
        <v>1795396.2364586149</v>
      </c>
    </row>
    <row r="644" spans="6:7" x14ac:dyDescent="0.25">
      <c r="F644" s="259">
        <v>639</v>
      </c>
      <c r="G644" s="265">
        <v>790024.63703207718</v>
      </c>
    </row>
    <row r="645" spans="6:7" x14ac:dyDescent="0.25">
      <c r="F645" s="259">
        <v>640</v>
      </c>
      <c r="G645" s="265">
        <v>428737.71803868515</v>
      </c>
    </row>
    <row r="646" spans="6:7" x14ac:dyDescent="0.25">
      <c r="F646" s="259">
        <v>641</v>
      </c>
      <c r="G646" s="265">
        <v>826175.5911749925</v>
      </c>
    </row>
    <row r="647" spans="6:7" x14ac:dyDescent="0.25">
      <c r="F647" s="259">
        <v>642</v>
      </c>
      <c r="G647" s="265">
        <v>1334540.4941333719</v>
      </c>
    </row>
    <row r="648" spans="6:7" x14ac:dyDescent="0.25">
      <c r="F648" s="259">
        <v>643</v>
      </c>
      <c r="G648" s="265">
        <v>989374.41463810904</v>
      </c>
    </row>
    <row r="649" spans="6:7" x14ac:dyDescent="0.25">
      <c r="F649" s="259">
        <v>644</v>
      </c>
      <c r="G649" s="265">
        <v>1897525.9400225794</v>
      </c>
    </row>
    <row r="650" spans="6:7" x14ac:dyDescent="0.25">
      <c r="F650" s="259">
        <v>645</v>
      </c>
      <c r="G650" s="265">
        <v>1512696.5716549484</v>
      </c>
    </row>
    <row r="651" spans="6:7" x14ac:dyDescent="0.25">
      <c r="F651" s="259">
        <v>646</v>
      </c>
      <c r="G651" s="265">
        <v>1047864.8607137394</v>
      </c>
    </row>
    <row r="652" spans="6:7" x14ac:dyDescent="0.25">
      <c r="F652" s="259">
        <v>647</v>
      </c>
      <c r="G652" s="265">
        <v>1199917.6086289641</v>
      </c>
    </row>
    <row r="653" spans="6:7" x14ac:dyDescent="0.25">
      <c r="F653" s="259">
        <v>648</v>
      </c>
      <c r="G653" s="265">
        <v>737752.84339103266</v>
      </c>
    </row>
    <row r="654" spans="6:7" x14ac:dyDescent="0.25">
      <c r="F654" s="259">
        <v>649</v>
      </c>
      <c r="G654" s="265">
        <v>1156278.3511406295</v>
      </c>
    </row>
    <row r="655" spans="6:7" x14ac:dyDescent="0.25">
      <c r="F655" s="259">
        <v>650</v>
      </c>
      <c r="G655" s="265">
        <v>945735.15714977449</v>
      </c>
    </row>
    <row r="656" spans="6:7" x14ac:dyDescent="0.25">
      <c r="F656" s="259">
        <v>651</v>
      </c>
      <c r="G656" s="265">
        <v>1176163.0283123963</v>
      </c>
    </row>
    <row r="657" spans="6:7" x14ac:dyDescent="0.25">
      <c r="F657" s="259">
        <v>652</v>
      </c>
      <c r="G657" s="265">
        <v>1278292.7318763612</v>
      </c>
    </row>
    <row r="658" spans="6:7" x14ac:dyDescent="0.25">
      <c r="F658" s="259">
        <v>653</v>
      </c>
      <c r="G658" s="265">
        <v>559596.76586945541</v>
      </c>
    </row>
    <row r="659" spans="6:7" x14ac:dyDescent="0.25">
      <c r="F659" s="259">
        <v>654</v>
      </c>
      <c r="G659" s="265">
        <v>461124.83450796362</v>
      </c>
    </row>
    <row r="660" spans="6:7" x14ac:dyDescent="0.25">
      <c r="F660" s="259">
        <v>655</v>
      </c>
      <c r="G660" s="265">
        <v>1298389.5399904563</v>
      </c>
    </row>
    <row r="661" spans="6:7" x14ac:dyDescent="0.25">
      <c r="F661" s="259">
        <v>656</v>
      </c>
      <c r="G661" s="265">
        <v>1321931.9893646948</v>
      </c>
    </row>
    <row r="662" spans="6:7" x14ac:dyDescent="0.25">
      <c r="F662" s="259">
        <v>657</v>
      </c>
      <c r="G662" s="265">
        <v>1608501.5573131628</v>
      </c>
    </row>
    <row r="663" spans="6:7" x14ac:dyDescent="0.25">
      <c r="F663" s="259">
        <v>658</v>
      </c>
      <c r="G663" s="265">
        <v>1258514.1201757588</v>
      </c>
    </row>
    <row r="664" spans="6:7" x14ac:dyDescent="0.25">
      <c r="F664" s="259">
        <v>659</v>
      </c>
      <c r="G664" s="265">
        <v>971944.55222729174</v>
      </c>
    </row>
    <row r="665" spans="6:7" x14ac:dyDescent="0.25">
      <c r="F665" s="259">
        <v>660</v>
      </c>
      <c r="G665" s="265">
        <v>2052033.502698753</v>
      </c>
    </row>
    <row r="666" spans="6:7" x14ac:dyDescent="0.25">
      <c r="F666" s="259">
        <v>661</v>
      </c>
      <c r="G666" s="265">
        <v>1710737.3263482922</v>
      </c>
    </row>
    <row r="667" spans="6:7" x14ac:dyDescent="0.25">
      <c r="F667" s="259">
        <v>662</v>
      </c>
      <c r="G667" s="265">
        <v>1386706.2223032513</v>
      </c>
    </row>
    <row r="668" spans="6:7" x14ac:dyDescent="0.25">
      <c r="F668" s="259">
        <v>663</v>
      </c>
      <c r="G668" s="265">
        <v>1424273.823870989</v>
      </c>
    </row>
    <row r="669" spans="6:7" x14ac:dyDescent="0.25">
      <c r="F669" s="259">
        <v>664</v>
      </c>
      <c r="G669" s="265">
        <v>1567423.1800569417</v>
      </c>
    </row>
    <row r="670" spans="6:7" x14ac:dyDescent="0.25">
      <c r="F670" s="259">
        <v>665</v>
      </c>
      <c r="G670" s="265">
        <v>1180032.9314571982</v>
      </c>
    </row>
    <row r="671" spans="6:7" x14ac:dyDescent="0.25">
      <c r="F671" s="259">
        <v>666</v>
      </c>
      <c r="G671" s="265">
        <v>1376764.6632378525</v>
      </c>
    </row>
    <row r="672" spans="6:7" x14ac:dyDescent="0.25">
      <c r="F672" s="259">
        <v>667</v>
      </c>
      <c r="G672" s="265">
        <v>1258408.0547045944</v>
      </c>
    </row>
    <row r="673" spans="6:7" x14ac:dyDescent="0.25">
      <c r="F673" s="259">
        <v>668</v>
      </c>
      <c r="G673" s="265">
        <v>948296.03738188767</v>
      </c>
    </row>
    <row r="674" spans="6:7" x14ac:dyDescent="0.25">
      <c r="F674" s="259">
        <v>669</v>
      </c>
      <c r="G674" s="265">
        <v>1795396.2364586149</v>
      </c>
    </row>
    <row r="675" spans="6:7" x14ac:dyDescent="0.25">
      <c r="F675" s="259">
        <v>670</v>
      </c>
      <c r="G675" s="265">
        <v>1865244.8890244658</v>
      </c>
    </row>
    <row r="676" spans="6:7" x14ac:dyDescent="0.25">
      <c r="F676" s="259">
        <v>671</v>
      </c>
      <c r="G676" s="265">
        <v>925850.47997800843</v>
      </c>
    </row>
    <row r="677" spans="6:7" x14ac:dyDescent="0.25">
      <c r="F677" s="259">
        <v>672</v>
      </c>
      <c r="G677" s="265">
        <v>606893.79556026217</v>
      </c>
    </row>
    <row r="678" spans="6:7" x14ac:dyDescent="0.25">
      <c r="F678" s="259">
        <v>673</v>
      </c>
      <c r="G678" s="265">
        <v>1302047.3121929285</v>
      </c>
    </row>
    <row r="679" spans="6:7" x14ac:dyDescent="0.25">
      <c r="F679" s="259">
        <v>674</v>
      </c>
      <c r="G679" s="265">
        <v>969489.73746634298</v>
      </c>
    </row>
    <row r="680" spans="6:7" x14ac:dyDescent="0.25">
      <c r="F680" s="259">
        <v>675</v>
      </c>
      <c r="G680" s="265">
        <v>1056603.462337614</v>
      </c>
    </row>
    <row r="681" spans="6:7" x14ac:dyDescent="0.25">
      <c r="F681" s="259">
        <v>676</v>
      </c>
      <c r="G681" s="265">
        <v>790024.63703207718</v>
      </c>
    </row>
    <row r="682" spans="6:7" x14ac:dyDescent="0.25">
      <c r="F682" s="259">
        <v>677</v>
      </c>
      <c r="G682" s="265">
        <v>1158839.2313727429</v>
      </c>
    </row>
    <row r="683" spans="6:7" x14ac:dyDescent="0.25">
      <c r="F683" s="259">
        <v>678</v>
      </c>
      <c r="G683" s="265">
        <v>989374.41463810904</v>
      </c>
    </row>
    <row r="684" spans="6:7" x14ac:dyDescent="0.25">
      <c r="F684" s="259">
        <v>679</v>
      </c>
      <c r="G684" s="265">
        <v>1199917.6086289641</v>
      </c>
    </row>
    <row r="685" spans="6:7" x14ac:dyDescent="0.25">
      <c r="F685" s="259">
        <v>680</v>
      </c>
      <c r="G685" s="265">
        <v>1298283.4745192914</v>
      </c>
    </row>
    <row r="686" spans="6:7" x14ac:dyDescent="0.25">
      <c r="F686" s="259">
        <v>681</v>
      </c>
      <c r="G686" s="265">
        <v>969489.73746634298</v>
      </c>
    </row>
    <row r="687" spans="6:7" x14ac:dyDescent="0.25">
      <c r="F687" s="259">
        <v>682</v>
      </c>
      <c r="G687" s="265">
        <v>1541213.7849794249</v>
      </c>
    </row>
    <row r="688" spans="6:7" x14ac:dyDescent="0.25">
      <c r="F688" s="259">
        <v>683</v>
      </c>
      <c r="G688" s="265">
        <v>1354319.1058339733</v>
      </c>
    </row>
    <row r="689" spans="6:7" x14ac:dyDescent="0.25">
      <c r="F689" s="259">
        <v>684</v>
      </c>
      <c r="G689" s="265">
        <v>1015583.8097156254</v>
      </c>
    </row>
    <row r="690" spans="6:7" x14ac:dyDescent="0.25">
      <c r="F690" s="259">
        <v>685</v>
      </c>
      <c r="G690" s="265">
        <v>1123891.234671352</v>
      </c>
    </row>
    <row r="691" spans="6:7" x14ac:dyDescent="0.25">
      <c r="F691" s="259">
        <v>686</v>
      </c>
      <c r="G691" s="265">
        <v>1611062.4375452758</v>
      </c>
    </row>
    <row r="692" spans="6:7" x14ac:dyDescent="0.25">
      <c r="F692" s="259">
        <v>687</v>
      </c>
      <c r="G692" s="265">
        <v>1176163.0283123963</v>
      </c>
    </row>
    <row r="693" spans="6:7" x14ac:dyDescent="0.25">
      <c r="F693" s="259">
        <v>688</v>
      </c>
      <c r="G693" s="265">
        <v>1282162.6350211627</v>
      </c>
    </row>
    <row r="694" spans="6:7" x14ac:dyDescent="0.25">
      <c r="F694" s="259">
        <v>689</v>
      </c>
      <c r="G694" s="265">
        <v>1354319.1058339733</v>
      </c>
    </row>
    <row r="695" spans="6:7" x14ac:dyDescent="0.25">
      <c r="F695" s="259">
        <v>690</v>
      </c>
      <c r="G695" s="265">
        <v>659165.58920130669</v>
      </c>
    </row>
    <row r="696" spans="6:7" x14ac:dyDescent="0.25">
      <c r="F696" s="259">
        <v>691</v>
      </c>
      <c r="G696" s="265">
        <v>1020452.5081946987</v>
      </c>
    </row>
    <row r="697" spans="6:7" x14ac:dyDescent="0.25">
      <c r="F697" s="259">
        <v>692</v>
      </c>
      <c r="G697" s="265">
        <v>1015583.8097156254</v>
      </c>
    </row>
    <row r="698" spans="6:7" x14ac:dyDescent="0.25">
      <c r="F698" s="259">
        <v>693</v>
      </c>
      <c r="G698" s="265">
        <v>1508826.6685101469</v>
      </c>
    </row>
    <row r="699" spans="6:7" x14ac:dyDescent="0.25">
      <c r="F699" s="259">
        <v>694</v>
      </c>
      <c r="G699" s="265">
        <v>1634817.0178618445</v>
      </c>
    </row>
    <row r="700" spans="6:7" x14ac:dyDescent="0.25">
      <c r="F700" s="259">
        <v>695</v>
      </c>
      <c r="G700" s="265">
        <v>1667098.0688599576</v>
      </c>
    </row>
    <row r="701" spans="6:7" x14ac:dyDescent="0.25">
      <c r="F701" s="259">
        <v>696</v>
      </c>
      <c r="G701" s="265">
        <v>1321931.9893646948</v>
      </c>
    </row>
    <row r="702" spans="6:7" x14ac:dyDescent="0.25">
      <c r="F702" s="259">
        <v>697</v>
      </c>
      <c r="G702" s="265">
        <v>1123891.234671352</v>
      </c>
    </row>
    <row r="703" spans="6:7" x14ac:dyDescent="0.25">
      <c r="F703" s="259">
        <v>698</v>
      </c>
      <c r="G703" s="265">
        <v>1358189.0089787748</v>
      </c>
    </row>
    <row r="704" spans="6:7" x14ac:dyDescent="0.25">
      <c r="F704" s="259">
        <v>699</v>
      </c>
      <c r="G704" s="265">
        <v>1170091.372391799</v>
      </c>
    </row>
    <row r="705" spans="6:7" x14ac:dyDescent="0.25">
      <c r="F705" s="259">
        <v>700</v>
      </c>
      <c r="G705" s="265">
        <v>1695721.3476555985</v>
      </c>
    </row>
    <row r="706" spans="6:7" x14ac:dyDescent="0.25">
      <c r="F706" s="259">
        <v>701</v>
      </c>
      <c r="G706" s="265">
        <v>1180032.9314571982</v>
      </c>
    </row>
    <row r="707" spans="6:7" x14ac:dyDescent="0.25">
      <c r="F707" s="259">
        <v>702</v>
      </c>
      <c r="G707" s="265">
        <v>635517.07435590355</v>
      </c>
    </row>
    <row r="708" spans="6:7" x14ac:dyDescent="0.25">
      <c r="F708" s="259">
        <v>703</v>
      </c>
      <c r="G708" s="265">
        <v>682920.16951787495</v>
      </c>
    </row>
    <row r="709" spans="6:7" x14ac:dyDescent="0.25">
      <c r="F709" s="259">
        <v>704</v>
      </c>
      <c r="G709" s="265">
        <v>1246117.746349412</v>
      </c>
    </row>
    <row r="710" spans="6:7" x14ac:dyDescent="0.25">
      <c r="F710" s="259">
        <v>705</v>
      </c>
      <c r="G710" s="265">
        <v>1564968.3652959932</v>
      </c>
    </row>
    <row r="711" spans="6:7" x14ac:dyDescent="0.25">
      <c r="F711" s="259">
        <v>706</v>
      </c>
      <c r="G711" s="265">
        <v>1202478.4888610775</v>
      </c>
    </row>
    <row r="712" spans="6:7" x14ac:dyDescent="0.25">
      <c r="F712" s="259">
        <v>707</v>
      </c>
      <c r="G712" s="265">
        <v>1640888.6737824413</v>
      </c>
    </row>
    <row r="713" spans="6:7" x14ac:dyDescent="0.25">
      <c r="F713" s="259">
        <v>708</v>
      </c>
      <c r="G713" s="265">
        <v>1608501.5573131628</v>
      </c>
    </row>
    <row r="714" spans="6:7" x14ac:dyDescent="0.25">
      <c r="F714" s="259">
        <v>709</v>
      </c>
      <c r="G714" s="265">
        <v>1512696.5716549484</v>
      </c>
    </row>
    <row r="715" spans="6:7" x14ac:dyDescent="0.25">
      <c r="F715" s="259">
        <v>710</v>
      </c>
      <c r="G715" s="265">
        <v>1325801.8925094972</v>
      </c>
    </row>
    <row r="716" spans="6:7" x14ac:dyDescent="0.25">
      <c r="F716" s="259">
        <v>711</v>
      </c>
      <c r="G716" s="265">
        <v>1076488.1395093808</v>
      </c>
    </row>
    <row r="717" spans="6:7" x14ac:dyDescent="0.25">
      <c r="F717" s="259">
        <v>712</v>
      </c>
      <c r="G717" s="265">
        <v>1222257.1005616793</v>
      </c>
    </row>
    <row r="718" spans="6:7" x14ac:dyDescent="0.25">
      <c r="F718" s="259">
        <v>713</v>
      </c>
      <c r="G718" s="265">
        <v>1432800.2945525344</v>
      </c>
    </row>
    <row r="719" spans="6:7" x14ac:dyDescent="0.25">
      <c r="F719" s="259">
        <v>714</v>
      </c>
      <c r="G719" s="265">
        <v>1410460.8026198195</v>
      </c>
    </row>
    <row r="720" spans="6:7" x14ac:dyDescent="0.25">
      <c r="F720" s="259">
        <v>715</v>
      </c>
      <c r="G720" s="265">
        <v>1397958.3633223078</v>
      </c>
    </row>
    <row r="721" spans="6:7" x14ac:dyDescent="0.25">
      <c r="F721" s="259">
        <v>716</v>
      </c>
      <c r="G721" s="265">
        <v>1345686.5696812631</v>
      </c>
    </row>
    <row r="722" spans="6:7" x14ac:dyDescent="0.25">
      <c r="F722" s="259">
        <v>717</v>
      </c>
      <c r="G722" s="265">
        <v>1476545.6175120333</v>
      </c>
    </row>
    <row r="723" spans="6:7" x14ac:dyDescent="0.25">
      <c r="F723" s="259">
        <v>718</v>
      </c>
      <c r="G723" s="265">
        <v>1485178.1536647435</v>
      </c>
    </row>
    <row r="724" spans="6:7" x14ac:dyDescent="0.25">
      <c r="F724" s="259">
        <v>719</v>
      </c>
      <c r="G724" s="265">
        <v>737752.84339103266</v>
      </c>
    </row>
    <row r="725" spans="6:7" x14ac:dyDescent="0.25">
      <c r="F725" s="259">
        <v>720</v>
      </c>
      <c r="G725" s="265">
        <v>1845360.2118526995</v>
      </c>
    </row>
    <row r="726" spans="6:7" x14ac:dyDescent="0.25">
      <c r="F726" s="259">
        <v>721</v>
      </c>
      <c r="G726" s="265">
        <v>1532475.1833555503</v>
      </c>
    </row>
    <row r="727" spans="6:7" x14ac:dyDescent="0.25">
      <c r="F727" s="259">
        <v>722</v>
      </c>
      <c r="G727" s="265">
        <v>1027980.1835419729</v>
      </c>
    </row>
    <row r="728" spans="6:7" x14ac:dyDescent="0.25">
      <c r="F728" s="259">
        <v>723</v>
      </c>
      <c r="G728" s="265">
        <v>1120127.3969977144</v>
      </c>
    </row>
    <row r="729" spans="6:7" x14ac:dyDescent="0.25">
      <c r="F729" s="259">
        <v>724</v>
      </c>
      <c r="G729" s="265">
        <v>849824.10602039564</v>
      </c>
    </row>
    <row r="730" spans="6:7" x14ac:dyDescent="0.25">
      <c r="F730" s="259">
        <v>725</v>
      </c>
      <c r="G730" s="265">
        <v>1330670.5909885699</v>
      </c>
    </row>
    <row r="731" spans="6:7" x14ac:dyDescent="0.25">
      <c r="F731" s="259">
        <v>726</v>
      </c>
      <c r="G731" s="265">
        <v>1336995.3088943199</v>
      </c>
    </row>
    <row r="732" spans="6:7" x14ac:dyDescent="0.25">
      <c r="F732" s="259">
        <v>727</v>
      </c>
      <c r="G732" s="265">
        <v>1865244.8890244658</v>
      </c>
    </row>
    <row r="733" spans="6:7" x14ac:dyDescent="0.25">
      <c r="F733" s="259">
        <v>728</v>
      </c>
      <c r="G733" s="265">
        <v>1211111.0250137872</v>
      </c>
    </row>
    <row r="734" spans="6:7" x14ac:dyDescent="0.25">
      <c r="F734" s="259">
        <v>729</v>
      </c>
      <c r="G734" s="265">
        <v>1178723.9085445097</v>
      </c>
    </row>
    <row r="735" spans="6:7" x14ac:dyDescent="0.25">
      <c r="F735" s="259">
        <v>730</v>
      </c>
      <c r="G735" s="265">
        <v>1020452.5081946987</v>
      </c>
    </row>
    <row r="736" spans="6:7" x14ac:dyDescent="0.25">
      <c r="F736" s="259">
        <v>731</v>
      </c>
      <c r="G736" s="265">
        <v>991829.22939905757</v>
      </c>
    </row>
    <row r="737" spans="6:7" x14ac:dyDescent="0.25">
      <c r="F737" s="259">
        <v>732</v>
      </c>
      <c r="G737" s="265">
        <v>813673.15187748033</v>
      </c>
    </row>
    <row r="738" spans="6:7" x14ac:dyDescent="0.25">
      <c r="F738" s="259">
        <v>733</v>
      </c>
      <c r="G738" s="265">
        <v>1258514.1201757588</v>
      </c>
    </row>
    <row r="739" spans="6:7" x14ac:dyDescent="0.25">
      <c r="F739" s="259">
        <v>734</v>
      </c>
      <c r="G739" s="265">
        <v>1132523.7708240617</v>
      </c>
    </row>
    <row r="740" spans="6:7" x14ac:dyDescent="0.25">
      <c r="F740" s="259">
        <v>735</v>
      </c>
      <c r="G740" s="265">
        <v>1120127.3969977144</v>
      </c>
    </row>
    <row r="741" spans="6:7" x14ac:dyDescent="0.25">
      <c r="F741" s="259">
        <v>736</v>
      </c>
      <c r="G741" s="265">
        <v>1619694.9736979865</v>
      </c>
    </row>
    <row r="742" spans="6:7" x14ac:dyDescent="0.25">
      <c r="F742" s="259">
        <v>737</v>
      </c>
      <c r="G742" s="265">
        <v>793788.47470571427</v>
      </c>
    </row>
    <row r="743" spans="6:7" x14ac:dyDescent="0.25">
      <c r="F743" s="259">
        <v>738</v>
      </c>
      <c r="G743" s="265">
        <v>1424273.823870989</v>
      </c>
    </row>
    <row r="744" spans="6:7" x14ac:dyDescent="0.25">
      <c r="F744" s="259">
        <v>739</v>
      </c>
      <c r="G744" s="265">
        <v>1146336.7920752317</v>
      </c>
    </row>
    <row r="745" spans="6:7" x14ac:dyDescent="0.25">
      <c r="F745" s="259">
        <v>740</v>
      </c>
      <c r="G745" s="265">
        <v>980683.15385116637</v>
      </c>
    </row>
    <row r="746" spans="6:7" x14ac:dyDescent="0.25">
      <c r="F746" s="259">
        <v>741</v>
      </c>
      <c r="G746" s="265">
        <v>965619.83432154101</v>
      </c>
    </row>
    <row r="747" spans="6:7" x14ac:dyDescent="0.25">
      <c r="F747" s="259">
        <v>742</v>
      </c>
      <c r="G747" s="265">
        <v>1178723.9085445097</v>
      </c>
    </row>
    <row r="748" spans="6:7" x14ac:dyDescent="0.25">
      <c r="F748" s="259">
        <v>743</v>
      </c>
      <c r="G748" s="265">
        <v>671668.02849881887</v>
      </c>
    </row>
    <row r="749" spans="6:7" x14ac:dyDescent="0.25">
      <c r="F749" s="259">
        <v>744</v>
      </c>
      <c r="G749" s="265">
        <v>1739360.6051439331</v>
      </c>
    </row>
    <row r="750" spans="6:7" x14ac:dyDescent="0.25">
      <c r="F750" s="259">
        <v>745</v>
      </c>
      <c r="G750" s="265">
        <v>1452791.0371954651</v>
      </c>
    </row>
    <row r="751" spans="6:7" x14ac:dyDescent="0.25">
      <c r="F751" s="259">
        <v>746</v>
      </c>
      <c r="G751" s="265">
        <v>1640888.6737824413</v>
      </c>
    </row>
    <row r="752" spans="6:7" x14ac:dyDescent="0.25">
      <c r="F752" s="259">
        <v>747</v>
      </c>
      <c r="G752" s="265">
        <v>913348.04068049625</v>
      </c>
    </row>
    <row r="753" spans="6:7" x14ac:dyDescent="0.25">
      <c r="F753" s="259">
        <v>748</v>
      </c>
      <c r="G753" s="265">
        <v>902095.89966144017</v>
      </c>
    </row>
    <row r="754" spans="6:7" x14ac:dyDescent="0.25">
      <c r="F754" s="259">
        <v>749</v>
      </c>
      <c r="G754" s="265">
        <v>937102.62099706451</v>
      </c>
    </row>
    <row r="755" spans="6:7" x14ac:dyDescent="0.25">
      <c r="F755" s="259">
        <v>750</v>
      </c>
      <c r="G755" s="265">
        <v>1710737.3263482922</v>
      </c>
    </row>
    <row r="756" spans="6:7" x14ac:dyDescent="0.25">
      <c r="F756" s="259">
        <v>751</v>
      </c>
      <c r="G756" s="265">
        <v>846060.26834675879</v>
      </c>
    </row>
    <row r="757" spans="6:7" x14ac:dyDescent="0.25">
      <c r="F757" s="259">
        <v>752</v>
      </c>
      <c r="G757" s="265">
        <v>761401.35823643603</v>
      </c>
    </row>
    <row r="758" spans="6:7" x14ac:dyDescent="0.25">
      <c r="F758" s="259">
        <v>753</v>
      </c>
      <c r="G758" s="265">
        <v>1044207.0885112667</v>
      </c>
    </row>
    <row r="759" spans="6:7" x14ac:dyDescent="0.25">
      <c r="F759" s="259">
        <v>754</v>
      </c>
      <c r="G759" s="265">
        <v>937102.62099706451</v>
      </c>
    </row>
    <row r="760" spans="6:7" x14ac:dyDescent="0.25">
      <c r="F760" s="259">
        <v>755</v>
      </c>
      <c r="G760" s="265">
        <v>813673.15187748033</v>
      </c>
    </row>
    <row r="761" spans="6:7" x14ac:dyDescent="0.25">
      <c r="F761" s="259">
        <v>756</v>
      </c>
      <c r="G761" s="265">
        <v>2075788.0830153208</v>
      </c>
    </row>
    <row r="762" spans="6:7" x14ac:dyDescent="0.25">
      <c r="F762" s="259">
        <v>757</v>
      </c>
      <c r="G762" s="265">
        <v>1619694.9736979865</v>
      </c>
    </row>
    <row r="763" spans="6:7" x14ac:dyDescent="0.25">
      <c r="F763" s="259">
        <v>758</v>
      </c>
      <c r="G763" s="265">
        <v>1587307.8572287085</v>
      </c>
    </row>
    <row r="764" spans="6:7" x14ac:dyDescent="0.25">
      <c r="F764" s="259">
        <v>759</v>
      </c>
      <c r="G764" s="265">
        <v>1730622.003520058</v>
      </c>
    </row>
    <row r="765" spans="6:7" x14ac:dyDescent="0.25">
      <c r="F765" s="259">
        <v>760</v>
      </c>
      <c r="G765" s="265">
        <v>1020452.5081946987</v>
      </c>
    </row>
    <row r="766" spans="6:7" x14ac:dyDescent="0.25">
      <c r="F766" s="259">
        <v>761</v>
      </c>
      <c r="G766" s="265">
        <v>1412915.6173807676</v>
      </c>
    </row>
    <row r="767" spans="6:7" x14ac:dyDescent="0.25">
      <c r="F767" s="259">
        <v>762</v>
      </c>
      <c r="G767" s="265">
        <v>1302153.3776640934</v>
      </c>
    </row>
    <row r="768" spans="6:7" x14ac:dyDescent="0.25">
      <c r="F768" s="259">
        <v>763</v>
      </c>
      <c r="G768" s="265">
        <v>1409151.779707131</v>
      </c>
    </row>
    <row r="769" spans="6:7" x14ac:dyDescent="0.25">
      <c r="F769" s="259">
        <v>764</v>
      </c>
      <c r="G769" s="265">
        <v>1024322.4113395005</v>
      </c>
    </row>
    <row r="770" spans="6:7" x14ac:dyDescent="0.25">
      <c r="F770" s="259">
        <v>765</v>
      </c>
      <c r="G770" s="265">
        <v>1321931.9893646948</v>
      </c>
    </row>
    <row r="771" spans="6:7" x14ac:dyDescent="0.25">
      <c r="F771" s="259">
        <v>766</v>
      </c>
      <c r="G771" s="265">
        <v>813673.15187748033</v>
      </c>
    </row>
    <row r="772" spans="6:7" x14ac:dyDescent="0.25">
      <c r="F772" s="259">
        <v>767</v>
      </c>
      <c r="G772" s="265">
        <v>1047970.9261849038</v>
      </c>
    </row>
    <row r="773" spans="6:7" x14ac:dyDescent="0.25">
      <c r="F773" s="259">
        <v>768</v>
      </c>
      <c r="G773" s="265">
        <v>1695721.3476555985</v>
      </c>
    </row>
    <row r="774" spans="6:7" x14ac:dyDescent="0.25">
      <c r="F774" s="259">
        <v>769</v>
      </c>
      <c r="G774" s="265">
        <v>1178723.9085445097</v>
      </c>
    </row>
    <row r="775" spans="6:7" x14ac:dyDescent="0.25">
      <c r="F775" s="259">
        <v>770</v>
      </c>
      <c r="G775" s="265">
        <v>504764.09199629817</v>
      </c>
    </row>
    <row r="776" spans="6:7" x14ac:dyDescent="0.25">
      <c r="F776" s="259">
        <v>771</v>
      </c>
      <c r="G776" s="265">
        <v>1739360.6051439331</v>
      </c>
    </row>
    <row r="777" spans="6:7" x14ac:dyDescent="0.25">
      <c r="F777" s="259">
        <v>772</v>
      </c>
      <c r="G777" s="265">
        <v>1302047.3121929285</v>
      </c>
    </row>
    <row r="778" spans="6:7" x14ac:dyDescent="0.25">
      <c r="F778" s="259">
        <v>773</v>
      </c>
      <c r="G778" s="265">
        <v>1397958.3633223078</v>
      </c>
    </row>
    <row r="779" spans="6:7" x14ac:dyDescent="0.25">
      <c r="F779" s="259">
        <v>774</v>
      </c>
      <c r="G779" s="265">
        <v>1489048.0568095455</v>
      </c>
    </row>
    <row r="780" spans="6:7" x14ac:dyDescent="0.25">
      <c r="F780" s="259">
        <v>775</v>
      </c>
      <c r="G780" s="265">
        <v>991935.29487022222</v>
      </c>
    </row>
    <row r="781" spans="6:7" x14ac:dyDescent="0.25">
      <c r="F781" s="259">
        <v>776</v>
      </c>
      <c r="G781" s="265">
        <v>1199917.6086289641</v>
      </c>
    </row>
    <row r="782" spans="6:7" x14ac:dyDescent="0.25">
      <c r="F782" s="259">
        <v>777</v>
      </c>
      <c r="G782" s="265">
        <v>1619694.9736979865</v>
      </c>
    </row>
    <row r="783" spans="6:7" x14ac:dyDescent="0.25">
      <c r="F783" s="259">
        <v>778</v>
      </c>
      <c r="G783" s="265">
        <v>1310679.8483456392</v>
      </c>
    </row>
    <row r="784" spans="6:7" x14ac:dyDescent="0.25">
      <c r="F784" s="259">
        <v>779</v>
      </c>
      <c r="G784" s="265">
        <v>1091504.1182020735</v>
      </c>
    </row>
    <row r="785" spans="6:7" x14ac:dyDescent="0.25">
      <c r="F785" s="259">
        <v>780</v>
      </c>
      <c r="G785" s="265">
        <v>1199917.6086289641</v>
      </c>
    </row>
    <row r="786" spans="6:7" x14ac:dyDescent="0.25">
      <c r="F786" s="259">
        <v>781</v>
      </c>
      <c r="G786" s="265">
        <v>1258408.0547045944</v>
      </c>
    </row>
    <row r="787" spans="6:7" x14ac:dyDescent="0.25">
      <c r="F787" s="259">
        <v>782</v>
      </c>
      <c r="G787" s="265">
        <v>1500194.1323574367</v>
      </c>
    </row>
    <row r="788" spans="6:7" x14ac:dyDescent="0.25">
      <c r="F788" s="259">
        <v>783</v>
      </c>
      <c r="G788" s="265">
        <v>1358189.0089787748</v>
      </c>
    </row>
    <row r="789" spans="6:7" x14ac:dyDescent="0.25">
      <c r="F789" s="259">
        <v>784</v>
      </c>
      <c r="G789" s="265">
        <v>671668.02849881887</v>
      </c>
    </row>
    <row r="790" spans="6:7" x14ac:dyDescent="0.25">
      <c r="F790" s="259">
        <v>785</v>
      </c>
      <c r="G790" s="265">
        <v>1488835.9258672162</v>
      </c>
    </row>
    <row r="791" spans="6:7" x14ac:dyDescent="0.25">
      <c r="F791" s="259">
        <v>786</v>
      </c>
      <c r="G791" s="265">
        <v>1146336.7920752317</v>
      </c>
    </row>
    <row r="792" spans="6:7" x14ac:dyDescent="0.25">
      <c r="F792" s="259">
        <v>787</v>
      </c>
      <c r="G792" s="265">
        <v>1643343.4885433894</v>
      </c>
    </row>
    <row r="793" spans="6:7" x14ac:dyDescent="0.25">
      <c r="F793" s="259">
        <v>788</v>
      </c>
      <c r="G793" s="265">
        <v>1654701.6950336103</v>
      </c>
    </row>
    <row r="794" spans="6:7" x14ac:dyDescent="0.25">
      <c r="F794" s="259">
        <v>789</v>
      </c>
      <c r="G794" s="265">
        <v>250581.64051710838</v>
      </c>
    </row>
    <row r="795" spans="6:7" x14ac:dyDescent="0.25">
      <c r="F795" s="259">
        <v>790</v>
      </c>
      <c r="G795" s="265">
        <v>1897525.9400225794</v>
      </c>
    </row>
    <row r="796" spans="6:7" x14ac:dyDescent="0.25">
      <c r="F796" s="259">
        <v>791</v>
      </c>
      <c r="G796" s="265">
        <v>1047970.9261849038</v>
      </c>
    </row>
    <row r="797" spans="6:7" x14ac:dyDescent="0.25">
      <c r="F797" s="259">
        <v>792</v>
      </c>
      <c r="G797" s="265">
        <v>1132523.7708240617</v>
      </c>
    </row>
    <row r="798" spans="6:7" x14ac:dyDescent="0.25">
      <c r="F798" s="259">
        <v>793</v>
      </c>
      <c r="G798" s="265">
        <v>1480309.4551856709</v>
      </c>
    </row>
    <row r="799" spans="6:7" x14ac:dyDescent="0.25">
      <c r="F799" s="259">
        <v>794</v>
      </c>
      <c r="G799" s="265">
        <v>659165.58920130669</v>
      </c>
    </row>
    <row r="800" spans="6:7" x14ac:dyDescent="0.25">
      <c r="F800" s="259">
        <v>795</v>
      </c>
      <c r="G800" s="265">
        <v>405089.20319328201</v>
      </c>
    </row>
    <row r="801" spans="6:7" x14ac:dyDescent="0.25">
      <c r="F801" s="259">
        <v>796</v>
      </c>
      <c r="G801" s="265">
        <v>817436.98955111788</v>
      </c>
    </row>
    <row r="802" spans="6:7" x14ac:dyDescent="0.25">
      <c r="F802" s="259">
        <v>797</v>
      </c>
      <c r="G802" s="265">
        <v>1508826.6685101469</v>
      </c>
    </row>
    <row r="803" spans="6:7" x14ac:dyDescent="0.25">
      <c r="F803" s="259">
        <v>798</v>
      </c>
      <c r="G803" s="265">
        <v>1330670.5909885699</v>
      </c>
    </row>
    <row r="804" spans="6:7" x14ac:dyDescent="0.25">
      <c r="F804" s="259">
        <v>799</v>
      </c>
      <c r="G804" s="265">
        <v>428737.71803868515</v>
      </c>
    </row>
    <row r="805" spans="6:7" x14ac:dyDescent="0.25">
      <c r="F805" s="259">
        <v>800</v>
      </c>
      <c r="G805" s="265">
        <v>1269766.2611948149</v>
      </c>
    </row>
    <row r="806" spans="6:7" x14ac:dyDescent="0.25">
      <c r="F806" s="259">
        <v>801</v>
      </c>
      <c r="G806" s="265">
        <v>1180032.9314571982</v>
      </c>
    </row>
    <row r="807" spans="6:7" x14ac:dyDescent="0.25">
      <c r="F807" s="259">
        <v>802</v>
      </c>
      <c r="G807" s="265">
        <v>1156278.3511406295</v>
      </c>
    </row>
    <row r="808" spans="6:7" x14ac:dyDescent="0.25">
      <c r="F808" s="259">
        <v>803</v>
      </c>
      <c r="G808" s="265">
        <v>770139.95986031112</v>
      </c>
    </row>
    <row r="809" spans="6:7" x14ac:dyDescent="0.25">
      <c r="F809" s="259">
        <v>804</v>
      </c>
      <c r="G809" s="265">
        <v>913454.1061516609</v>
      </c>
    </row>
    <row r="810" spans="6:7" x14ac:dyDescent="0.25">
      <c r="F810" s="259">
        <v>805</v>
      </c>
      <c r="G810" s="265">
        <v>1719475.9279721668</v>
      </c>
    </row>
    <row r="811" spans="6:7" x14ac:dyDescent="0.25">
      <c r="F811" s="259">
        <v>806</v>
      </c>
      <c r="G811" s="265">
        <v>428737.71803868515</v>
      </c>
    </row>
    <row r="812" spans="6:7" x14ac:dyDescent="0.25">
      <c r="F812" s="259">
        <v>807</v>
      </c>
      <c r="G812" s="265">
        <v>761401.35823643603</v>
      </c>
    </row>
    <row r="813" spans="6:7" x14ac:dyDescent="0.25">
      <c r="F813" s="259">
        <v>808</v>
      </c>
      <c r="G813" s="265">
        <v>913348.04068049625</v>
      </c>
    </row>
    <row r="814" spans="6:7" x14ac:dyDescent="0.25">
      <c r="F814" s="259">
        <v>809</v>
      </c>
      <c r="G814" s="265">
        <v>1465187.4110218124</v>
      </c>
    </row>
    <row r="815" spans="6:7" x14ac:dyDescent="0.25">
      <c r="F815" s="259">
        <v>810</v>
      </c>
      <c r="G815" s="265">
        <v>735191.96315891924</v>
      </c>
    </row>
    <row r="816" spans="6:7" x14ac:dyDescent="0.25">
      <c r="F816" s="259">
        <v>811</v>
      </c>
      <c r="G816" s="265">
        <v>1024322.4113395005</v>
      </c>
    </row>
    <row r="817" spans="6:7" x14ac:dyDescent="0.25">
      <c r="F817" s="259">
        <v>812</v>
      </c>
      <c r="G817" s="265">
        <v>1488835.9258672162</v>
      </c>
    </row>
    <row r="818" spans="6:7" x14ac:dyDescent="0.25">
      <c r="F818" s="259">
        <v>813</v>
      </c>
      <c r="G818" s="265">
        <v>1080358.0426541818</v>
      </c>
    </row>
    <row r="819" spans="6:7" x14ac:dyDescent="0.25">
      <c r="F819" s="259">
        <v>814</v>
      </c>
      <c r="G819" s="265">
        <v>1234865.6053303559</v>
      </c>
    </row>
    <row r="820" spans="6:7" x14ac:dyDescent="0.25">
      <c r="F820" s="259">
        <v>815</v>
      </c>
      <c r="G820" s="265">
        <v>1841490.3087078976</v>
      </c>
    </row>
    <row r="821" spans="6:7" x14ac:dyDescent="0.25">
      <c r="F821" s="259">
        <v>816</v>
      </c>
      <c r="G821" s="265">
        <v>1234759.5398591915</v>
      </c>
    </row>
    <row r="822" spans="6:7" x14ac:dyDescent="0.25">
      <c r="F822" s="259">
        <v>817</v>
      </c>
      <c r="G822" s="265">
        <v>1278504.8628186905</v>
      </c>
    </row>
    <row r="823" spans="6:7" x14ac:dyDescent="0.25">
      <c r="F823" s="259">
        <v>818</v>
      </c>
      <c r="G823" s="265">
        <v>969489.73746634298</v>
      </c>
    </row>
    <row r="824" spans="6:7" x14ac:dyDescent="0.25">
      <c r="F824" s="259">
        <v>819</v>
      </c>
      <c r="G824" s="265">
        <v>817436.98955111788</v>
      </c>
    </row>
    <row r="825" spans="6:7" x14ac:dyDescent="0.25">
      <c r="F825" s="259">
        <v>820</v>
      </c>
      <c r="G825" s="265">
        <v>1508826.6685101469</v>
      </c>
    </row>
    <row r="826" spans="6:7" x14ac:dyDescent="0.25">
      <c r="F826" s="259">
        <v>821</v>
      </c>
      <c r="G826" s="265">
        <v>1298389.5399904563</v>
      </c>
    </row>
    <row r="827" spans="6:7" x14ac:dyDescent="0.25">
      <c r="F827" s="259">
        <v>822</v>
      </c>
      <c r="G827" s="265">
        <v>1512590.506183784</v>
      </c>
    </row>
    <row r="828" spans="6:7" x14ac:dyDescent="0.25">
      <c r="F828" s="259">
        <v>823</v>
      </c>
      <c r="G828" s="265">
        <v>1485178.1536647435</v>
      </c>
    </row>
    <row r="829" spans="6:7" x14ac:dyDescent="0.25">
      <c r="F829" s="259">
        <v>824</v>
      </c>
      <c r="G829" s="265">
        <v>915908.92091260967</v>
      </c>
    </row>
    <row r="830" spans="6:7" x14ac:dyDescent="0.25">
      <c r="F830" s="259">
        <v>825</v>
      </c>
      <c r="G830" s="265">
        <v>1686982.7460317239</v>
      </c>
    </row>
    <row r="831" spans="6:7" x14ac:dyDescent="0.25">
      <c r="F831" s="259">
        <v>826</v>
      </c>
      <c r="G831" s="265">
        <v>1630947.1147170421</v>
      </c>
    </row>
    <row r="832" spans="6:7" x14ac:dyDescent="0.25">
      <c r="F832" s="259">
        <v>827</v>
      </c>
      <c r="G832" s="265">
        <v>1345686.5696812631</v>
      </c>
    </row>
    <row r="833" spans="6:7" x14ac:dyDescent="0.25">
      <c r="F833" s="259">
        <v>828</v>
      </c>
      <c r="G833" s="265">
        <v>1147645.8149879198</v>
      </c>
    </row>
    <row r="834" spans="6:7" x14ac:dyDescent="0.25">
      <c r="F834" s="259">
        <v>829</v>
      </c>
      <c r="G834" s="265">
        <v>1302153.3776640934</v>
      </c>
    </row>
    <row r="835" spans="6:7" x14ac:dyDescent="0.25">
      <c r="F835" s="259">
        <v>830</v>
      </c>
      <c r="G835" s="265">
        <v>1386706.2223032513</v>
      </c>
    </row>
    <row r="836" spans="6:7" x14ac:dyDescent="0.25">
      <c r="F836" s="259">
        <v>831</v>
      </c>
      <c r="G836" s="265">
        <v>1322038.0548358597</v>
      </c>
    </row>
    <row r="837" spans="6:7" x14ac:dyDescent="0.25">
      <c r="F837" s="259">
        <v>832</v>
      </c>
      <c r="G837" s="265">
        <v>937102.62099706451</v>
      </c>
    </row>
    <row r="838" spans="6:7" x14ac:dyDescent="0.25">
      <c r="F838" s="259">
        <v>833</v>
      </c>
      <c r="G838" s="265">
        <v>1226127.0037064808</v>
      </c>
    </row>
    <row r="839" spans="6:7" x14ac:dyDescent="0.25">
      <c r="F839" s="259">
        <v>834</v>
      </c>
      <c r="G839" s="265">
        <v>1126452.1149034649</v>
      </c>
    </row>
    <row r="840" spans="6:7" x14ac:dyDescent="0.25">
      <c r="F840" s="259">
        <v>835</v>
      </c>
      <c r="G840" s="265">
        <v>1630947.1147170421</v>
      </c>
    </row>
    <row r="841" spans="6:7" x14ac:dyDescent="0.25">
      <c r="F841" s="259">
        <v>836</v>
      </c>
      <c r="G841" s="265">
        <v>1345686.5696812631</v>
      </c>
    </row>
    <row r="842" spans="6:7" x14ac:dyDescent="0.25">
      <c r="F842" s="259">
        <v>837</v>
      </c>
      <c r="G842" s="265">
        <v>1310785.9138168031</v>
      </c>
    </row>
    <row r="843" spans="6:7" x14ac:dyDescent="0.25">
      <c r="F843" s="259">
        <v>838</v>
      </c>
      <c r="G843" s="265">
        <v>1282162.6350211627</v>
      </c>
    </row>
    <row r="844" spans="6:7" x14ac:dyDescent="0.25">
      <c r="F844" s="259">
        <v>839</v>
      </c>
      <c r="G844" s="265">
        <v>1302047.3121929285</v>
      </c>
    </row>
    <row r="845" spans="6:7" x14ac:dyDescent="0.25">
      <c r="F845" s="259">
        <v>840</v>
      </c>
      <c r="G845" s="265">
        <v>991935.29487022222</v>
      </c>
    </row>
    <row r="846" spans="6:7" x14ac:dyDescent="0.25">
      <c r="F846" s="259">
        <v>841</v>
      </c>
      <c r="G846" s="265">
        <v>1234759.5398591915</v>
      </c>
    </row>
    <row r="847" spans="6:7" x14ac:dyDescent="0.25">
      <c r="F847" s="259">
        <v>842</v>
      </c>
      <c r="G847" s="265">
        <v>1576114.4408438844</v>
      </c>
    </row>
    <row r="848" spans="6:7" x14ac:dyDescent="0.25">
      <c r="F848" s="259">
        <v>843</v>
      </c>
      <c r="G848" s="265">
        <v>1564968.3652959932</v>
      </c>
    </row>
    <row r="849" spans="6:7" x14ac:dyDescent="0.25">
      <c r="F849" s="259">
        <v>844</v>
      </c>
      <c r="G849" s="265">
        <v>980683.15385116637</v>
      </c>
    </row>
    <row r="850" spans="6:7" x14ac:dyDescent="0.25">
      <c r="F850" s="259">
        <v>845</v>
      </c>
      <c r="G850" s="265">
        <v>1576114.4408438844</v>
      </c>
    </row>
    <row r="851" spans="6:7" x14ac:dyDescent="0.25">
      <c r="F851" s="259">
        <v>846</v>
      </c>
      <c r="G851" s="265">
        <v>639280.91202954063</v>
      </c>
    </row>
    <row r="852" spans="6:7" x14ac:dyDescent="0.25">
      <c r="F852" s="259">
        <v>847</v>
      </c>
      <c r="G852" s="265">
        <v>1821605.6315361313</v>
      </c>
    </row>
    <row r="853" spans="6:7" x14ac:dyDescent="0.25">
      <c r="F853" s="259">
        <v>848</v>
      </c>
      <c r="G853" s="265">
        <v>969489.73746634298</v>
      </c>
    </row>
    <row r="854" spans="6:7" x14ac:dyDescent="0.25">
      <c r="F854" s="259">
        <v>849</v>
      </c>
      <c r="G854" s="265">
        <v>1298283.4745192914</v>
      </c>
    </row>
    <row r="855" spans="6:7" x14ac:dyDescent="0.25">
      <c r="F855" s="259">
        <v>850</v>
      </c>
      <c r="G855" s="265">
        <v>659165.58920130669</v>
      </c>
    </row>
    <row r="856" spans="6:7" x14ac:dyDescent="0.25">
      <c r="F856" s="259">
        <v>851</v>
      </c>
      <c r="G856" s="265">
        <v>405089.20319328201</v>
      </c>
    </row>
    <row r="857" spans="6:7" x14ac:dyDescent="0.25">
      <c r="F857" s="259">
        <v>852</v>
      </c>
      <c r="G857" s="265">
        <v>1356879.9860660867</v>
      </c>
    </row>
    <row r="858" spans="6:7" x14ac:dyDescent="0.25">
      <c r="F858" s="259">
        <v>853</v>
      </c>
      <c r="G858" s="265">
        <v>1630947.1147170421</v>
      </c>
    </row>
    <row r="859" spans="6:7" x14ac:dyDescent="0.25">
      <c r="F859" s="259">
        <v>854</v>
      </c>
      <c r="G859" s="265">
        <v>1687088.8115028888</v>
      </c>
    </row>
    <row r="860" spans="6:7" x14ac:dyDescent="0.25">
      <c r="F860" s="259">
        <v>855</v>
      </c>
      <c r="G860" s="265">
        <v>1258514.1201757588</v>
      </c>
    </row>
    <row r="861" spans="6:7" x14ac:dyDescent="0.25">
      <c r="F861" s="259">
        <v>856</v>
      </c>
      <c r="G861" s="265">
        <v>1512696.5716549484</v>
      </c>
    </row>
    <row r="862" spans="6:7" x14ac:dyDescent="0.25">
      <c r="F862" s="259">
        <v>857</v>
      </c>
      <c r="G862" s="265">
        <v>1480309.4551856709</v>
      </c>
    </row>
    <row r="863" spans="6:7" x14ac:dyDescent="0.25">
      <c r="F863" s="259">
        <v>858</v>
      </c>
      <c r="G863" s="265">
        <v>889593.46036392846</v>
      </c>
    </row>
    <row r="864" spans="6:7" x14ac:dyDescent="0.25">
      <c r="F864" s="259">
        <v>859</v>
      </c>
      <c r="G864" s="265">
        <v>1480309.4551856709</v>
      </c>
    </row>
    <row r="865" spans="6:7" x14ac:dyDescent="0.25">
      <c r="F865" s="259">
        <v>860</v>
      </c>
      <c r="G865" s="265">
        <v>1480309.4551856709</v>
      </c>
    </row>
    <row r="866" spans="6:7" x14ac:dyDescent="0.25">
      <c r="F866" s="259">
        <v>861</v>
      </c>
      <c r="G866" s="265">
        <v>1456660.940340267</v>
      </c>
    </row>
    <row r="867" spans="6:7" x14ac:dyDescent="0.25">
      <c r="F867" s="259">
        <v>862</v>
      </c>
      <c r="G867" s="265">
        <v>1230995.702185554</v>
      </c>
    </row>
    <row r="868" spans="6:7" x14ac:dyDescent="0.25">
      <c r="F868" s="259">
        <v>863</v>
      </c>
      <c r="G868" s="265">
        <v>461124.83450796362</v>
      </c>
    </row>
    <row r="869" spans="6:7" x14ac:dyDescent="0.25">
      <c r="F869" s="259">
        <v>864</v>
      </c>
      <c r="G869" s="265">
        <v>1410460.8026198195</v>
      </c>
    </row>
    <row r="870" spans="6:7" x14ac:dyDescent="0.25">
      <c r="F870" s="259">
        <v>865</v>
      </c>
      <c r="G870" s="265">
        <v>1246117.746349412</v>
      </c>
    </row>
    <row r="871" spans="6:7" x14ac:dyDescent="0.25">
      <c r="F871" s="259">
        <v>866</v>
      </c>
      <c r="G871" s="265">
        <v>1211111.0250137872</v>
      </c>
    </row>
    <row r="872" spans="6:7" x14ac:dyDescent="0.25">
      <c r="F872" s="259">
        <v>867</v>
      </c>
      <c r="G872" s="265">
        <v>1298389.5399904563</v>
      </c>
    </row>
    <row r="873" spans="6:7" x14ac:dyDescent="0.25">
      <c r="F873" s="259">
        <v>868</v>
      </c>
      <c r="G873" s="265">
        <v>1588616.8801413965</v>
      </c>
    </row>
    <row r="874" spans="6:7" x14ac:dyDescent="0.25">
      <c r="F874" s="259">
        <v>869</v>
      </c>
      <c r="G874" s="265">
        <v>1508932.7339813118</v>
      </c>
    </row>
    <row r="875" spans="6:7" x14ac:dyDescent="0.25">
      <c r="F875" s="259">
        <v>870</v>
      </c>
      <c r="G875" s="265">
        <v>606893.79556026217</v>
      </c>
    </row>
    <row r="876" spans="6:7" x14ac:dyDescent="0.25">
      <c r="F876" s="259">
        <v>871</v>
      </c>
      <c r="G876" s="265">
        <v>1743124.4428175702</v>
      </c>
    </row>
    <row r="877" spans="6:7" x14ac:dyDescent="0.25">
      <c r="F877" s="259">
        <v>872</v>
      </c>
      <c r="G877" s="265">
        <v>1123997.3001425164</v>
      </c>
    </row>
    <row r="878" spans="6:7" x14ac:dyDescent="0.25">
      <c r="F878" s="259">
        <v>873</v>
      </c>
      <c r="G878" s="265">
        <v>1897525.9400225794</v>
      </c>
    </row>
    <row r="879" spans="6:7" x14ac:dyDescent="0.25">
      <c r="F879" s="259">
        <v>874</v>
      </c>
      <c r="G879" s="265">
        <v>1532475.1833555503</v>
      </c>
    </row>
    <row r="880" spans="6:7" x14ac:dyDescent="0.25">
      <c r="F880" s="259">
        <v>875</v>
      </c>
      <c r="G880" s="265">
        <v>1158839.2313727429</v>
      </c>
    </row>
    <row r="881" spans="6:7" x14ac:dyDescent="0.25">
      <c r="F881" s="259">
        <v>876</v>
      </c>
      <c r="G881" s="265">
        <v>1345686.5696812631</v>
      </c>
    </row>
    <row r="882" spans="6:7" x14ac:dyDescent="0.25">
      <c r="F882" s="259">
        <v>877</v>
      </c>
      <c r="G882" s="265">
        <v>1591177.76037351</v>
      </c>
    </row>
    <row r="883" spans="6:7" x14ac:dyDescent="0.25">
      <c r="F883" s="259">
        <v>878</v>
      </c>
      <c r="G883" s="265">
        <v>1949903.7991347886</v>
      </c>
    </row>
    <row r="884" spans="6:7" x14ac:dyDescent="0.25">
      <c r="F884" s="259">
        <v>879</v>
      </c>
      <c r="G884" s="265">
        <v>1358189.0089787748</v>
      </c>
    </row>
    <row r="885" spans="6:7" x14ac:dyDescent="0.25">
      <c r="F885" s="259">
        <v>880</v>
      </c>
      <c r="G885" s="265">
        <v>1199917.6086289641</v>
      </c>
    </row>
    <row r="886" spans="6:7" x14ac:dyDescent="0.25">
      <c r="F886" s="259">
        <v>881</v>
      </c>
      <c r="G886" s="265">
        <v>1528817.4111530776</v>
      </c>
    </row>
    <row r="887" spans="6:7" x14ac:dyDescent="0.25">
      <c r="F887" s="259">
        <v>882</v>
      </c>
      <c r="G887" s="265">
        <v>969489.73746634298</v>
      </c>
    </row>
    <row r="888" spans="6:7" x14ac:dyDescent="0.25">
      <c r="F888" s="259">
        <v>883</v>
      </c>
      <c r="G888" s="265">
        <v>1743124.4428175702</v>
      </c>
    </row>
    <row r="889" spans="6:7" x14ac:dyDescent="0.25">
      <c r="F889" s="259">
        <v>884</v>
      </c>
      <c r="G889" s="265">
        <v>1821605.6315361313</v>
      </c>
    </row>
    <row r="890" spans="6:7" x14ac:dyDescent="0.25">
      <c r="F890" s="259">
        <v>885</v>
      </c>
      <c r="G890" s="265">
        <v>1287031.3335002358</v>
      </c>
    </row>
    <row r="891" spans="6:7" x14ac:dyDescent="0.25">
      <c r="F891" s="259">
        <v>886</v>
      </c>
      <c r="G891" s="265">
        <v>1298283.4745192914</v>
      </c>
    </row>
    <row r="892" spans="6:7" x14ac:dyDescent="0.25">
      <c r="F892" s="259">
        <v>887</v>
      </c>
      <c r="G892" s="265">
        <v>1739360.6051439331</v>
      </c>
    </row>
    <row r="893" spans="6:7" x14ac:dyDescent="0.25">
      <c r="F893" s="259">
        <v>888</v>
      </c>
      <c r="G893" s="265">
        <v>1730622.003520058</v>
      </c>
    </row>
    <row r="894" spans="6:7" x14ac:dyDescent="0.25">
      <c r="F894" s="259">
        <v>889</v>
      </c>
      <c r="G894" s="265">
        <v>1630947.1147170421</v>
      </c>
    </row>
    <row r="895" spans="6:7" x14ac:dyDescent="0.25">
      <c r="F895" s="259">
        <v>890</v>
      </c>
      <c r="G895" s="265">
        <v>1158839.2313727429</v>
      </c>
    </row>
    <row r="896" spans="6:7" x14ac:dyDescent="0.25">
      <c r="F896" s="259">
        <v>891</v>
      </c>
      <c r="G896" s="265">
        <v>1254644.2170309569</v>
      </c>
    </row>
    <row r="897" spans="6:7" x14ac:dyDescent="0.25">
      <c r="F897" s="259">
        <v>892</v>
      </c>
      <c r="G897" s="265">
        <v>1643343.4885433894</v>
      </c>
    </row>
    <row r="898" spans="6:7" x14ac:dyDescent="0.25">
      <c r="F898" s="259">
        <v>893</v>
      </c>
      <c r="G898" s="265">
        <v>1302153.3776640934</v>
      </c>
    </row>
    <row r="899" spans="6:7" x14ac:dyDescent="0.25">
      <c r="F899" s="259">
        <v>894</v>
      </c>
      <c r="G899" s="265">
        <v>902095.89966144017</v>
      </c>
    </row>
    <row r="900" spans="6:7" x14ac:dyDescent="0.25">
      <c r="F900" s="259">
        <v>895</v>
      </c>
      <c r="G900" s="265">
        <v>1795396.2364586149</v>
      </c>
    </row>
    <row r="901" spans="6:7" x14ac:dyDescent="0.25">
      <c r="F901" s="259">
        <v>896</v>
      </c>
      <c r="G901" s="265">
        <v>1178723.9085445097</v>
      </c>
    </row>
    <row r="902" spans="6:7" x14ac:dyDescent="0.25">
      <c r="F902" s="259">
        <v>897</v>
      </c>
      <c r="G902" s="265">
        <v>461124.83450796362</v>
      </c>
    </row>
    <row r="903" spans="6:7" x14ac:dyDescent="0.25">
      <c r="F903" s="259">
        <v>898</v>
      </c>
      <c r="G903" s="265">
        <v>790024.63703207718</v>
      </c>
    </row>
    <row r="904" spans="6:7" x14ac:dyDescent="0.25">
      <c r="F904" s="259">
        <v>899</v>
      </c>
      <c r="G904" s="265">
        <v>1126452.1149034649</v>
      </c>
    </row>
    <row r="905" spans="6:7" x14ac:dyDescent="0.25">
      <c r="F905" s="259">
        <v>900</v>
      </c>
      <c r="G905" s="265">
        <v>1330670.5909885699</v>
      </c>
    </row>
    <row r="906" spans="6:7" x14ac:dyDescent="0.25">
      <c r="F906" s="259">
        <v>901</v>
      </c>
      <c r="G906" s="265">
        <v>1380634.5663826545</v>
      </c>
    </row>
    <row r="907" spans="6:7" x14ac:dyDescent="0.25">
      <c r="F907" s="259">
        <v>902</v>
      </c>
      <c r="G907" s="265">
        <v>1873877.4251771756</v>
      </c>
    </row>
    <row r="908" spans="6:7" x14ac:dyDescent="0.25">
      <c r="F908" s="259">
        <v>903</v>
      </c>
      <c r="G908" s="265">
        <v>1158839.2313727429</v>
      </c>
    </row>
    <row r="909" spans="6:7" x14ac:dyDescent="0.25">
      <c r="F909" s="259">
        <v>904</v>
      </c>
      <c r="G909" s="265">
        <v>1766772.9576629736</v>
      </c>
    </row>
    <row r="910" spans="6:7" x14ac:dyDescent="0.25">
      <c r="F910" s="259">
        <v>905</v>
      </c>
      <c r="G910" s="265">
        <v>1476545.6175120333</v>
      </c>
    </row>
    <row r="911" spans="6:7" x14ac:dyDescent="0.25">
      <c r="F911" s="259">
        <v>906</v>
      </c>
      <c r="G911" s="265">
        <v>1278504.8628186905</v>
      </c>
    </row>
    <row r="912" spans="6:7" x14ac:dyDescent="0.25">
      <c r="F912" s="259">
        <v>907</v>
      </c>
      <c r="G912" s="265">
        <v>2306215.9541779426</v>
      </c>
    </row>
    <row r="913" spans="6:7" x14ac:dyDescent="0.25">
      <c r="F913" s="259">
        <v>908</v>
      </c>
      <c r="G913" s="265">
        <v>1786657.6348347403</v>
      </c>
    </row>
    <row r="914" spans="6:7" x14ac:dyDescent="0.25">
      <c r="F914" s="259">
        <v>909</v>
      </c>
      <c r="G914" s="265">
        <v>481009.51167972991</v>
      </c>
    </row>
    <row r="915" spans="6:7" x14ac:dyDescent="0.25">
      <c r="F915" s="259">
        <v>910</v>
      </c>
      <c r="G915" s="265">
        <v>1897525.9400225794</v>
      </c>
    </row>
    <row r="916" spans="6:7" x14ac:dyDescent="0.25">
      <c r="F916" s="259">
        <v>911</v>
      </c>
      <c r="G916" s="265">
        <v>758946.5434754875</v>
      </c>
    </row>
    <row r="917" spans="6:7" x14ac:dyDescent="0.25">
      <c r="F917" s="259">
        <v>912</v>
      </c>
      <c r="G917" s="265">
        <v>1104006.5574995852</v>
      </c>
    </row>
    <row r="918" spans="6:7" x14ac:dyDescent="0.25">
      <c r="F918" s="259">
        <v>913</v>
      </c>
      <c r="G918" s="265">
        <v>711437.38284235145</v>
      </c>
    </row>
    <row r="919" spans="6:7" x14ac:dyDescent="0.25">
      <c r="F919" s="259">
        <v>914</v>
      </c>
      <c r="G919" s="265">
        <v>659271.65467247157</v>
      </c>
    </row>
    <row r="920" spans="6:7" x14ac:dyDescent="0.25">
      <c r="F920" s="259">
        <v>915</v>
      </c>
      <c r="G920" s="265">
        <v>1885129.5661962316</v>
      </c>
    </row>
    <row r="921" spans="6:7" x14ac:dyDescent="0.25">
      <c r="F921" s="259">
        <v>916</v>
      </c>
      <c r="G921" s="265">
        <v>921980.57683320669</v>
      </c>
    </row>
    <row r="922" spans="6:7" x14ac:dyDescent="0.25">
      <c r="F922" s="259">
        <v>917</v>
      </c>
      <c r="G922" s="265">
        <v>1588616.8801413965</v>
      </c>
    </row>
    <row r="923" spans="6:7" x14ac:dyDescent="0.25">
      <c r="F923" s="259">
        <v>918</v>
      </c>
      <c r="G923" s="265">
        <v>1047970.9261849038</v>
      </c>
    </row>
    <row r="924" spans="6:7" x14ac:dyDescent="0.25">
      <c r="F924" s="259">
        <v>919</v>
      </c>
      <c r="G924" s="265">
        <v>1465187.4110218124</v>
      </c>
    </row>
    <row r="925" spans="6:7" x14ac:dyDescent="0.25">
      <c r="F925" s="259">
        <v>920</v>
      </c>
      <c r="G925" s="265">
        <v>758946.5434754875</v>
      </c>
    </row>
    <row r="926" spans="6:7" x14ac:dyDescent="0.25">
      <c r="F926" s="259">
        <v>921</v>
      </c>
      <c r="G926" s="265">
        <v>1690852.6491765259</v>
      </c>
    </row>
    <row r="927" spans="6:7" x14ac:dyDescent="0.25">
      <c r="F927" s="259">
        <v>922</v>
      </c>
      <c r="G927" s="265">
        <v>1686982.7460317239</v>
      </c>
    </row>
    <row r="928" spans="6:7" x14ac:dyDescent="0.25">
      <c r="F928" s="259">
        <v>923</v>
      </c>
      <c r="G928" s="265">
        <v>1587307.8572287085</v>
      </c>
    </row>
    <row r="929" spans="6:7" x14ac:dyDescent="0.25">
      <c r="F929" s="259">
        <v>924</v>
      </c>
      <c r="G929" s="265">
        <v>1027980.1835419729</v>
      </c>
    </row>
    <row r="930" spans="6:7" x14ac:dyDescent="0.25">
      <c r="F930" s="259">
        <v>925</v>
      </c>
      <c r="G930" s="265">
        <v>1067749.5378855052</v>
      </c>
    </row>
    <row r="931" spans="6:7" x14ac:dyDescent="0.25">
      <c r="F931" s="259">
        <v>926</v>
      </c>
      <c r="G931" s="265">
        <v>1619694.9736979865</v>
      </c>
    </row>
    <row r="932" spans="6:7" x14ac:dyDescent="0.25">
      <c r="F932" s="259">
        <v>927</v>
      </c>
      <c r="G932" s="265">
        <v>1500194.1323574367</v>
      </c>
    </row>
    <row r="933" spans="6:7" x14ac:dyDescent="0.25">
      <c r="F933" s="259">
        <v>928</v>
      </c>
      <c r="G933" s="265">
        <v>913348.04068049625</v>
      </c>
    </row>
    <row r="934" spans="6:7" x14ac:dyDescent="0.25">
      <c r="F934" s="259">
        <v>929</v>
      </c>
      <c r="G934" s="265">
        <v>1226127.0037064808</v>
      </c>
    </row>
    <row r="935" spans="6:7" x14ac:dyDescent="0.25">
      <c r="F935" s="259">
        <v>930</v>
      </c>
      <c r="G935" s="265">
        <v>1202478.4888610775</v>
      </c>
    </row>
    <row r="936" spans="6:7" x14ac:dyDescent="0.25">
      <c r="F936" s="259">
        <v>931</v>
      </c>
      <c r="G936" s="265">
        <v>1298389.5399904563</v>
      </c>
    </row>
    <row r="937" spans="6:7" x14ac:dyDescent="0.25">
      <c r="F937" s="259">
        <v>932</v>
      </c>
      <c r="G937" s="265">
        <v>1027980.1835419729</v>
      </c>
    </row>
    <row r="938" spans="6:7" x14ac:dyDescent="0.25">
      <c r="F938" s="259">
        <v>933</v>
      </c>
      <c r="G938" s="265">
        <v>1532475.1833555503</v>
      </c>
    </row>
    <row r="939" spans="6:7" x14ac:dyDescent="0.25">
      <c r="F939" s="259">
        <v>934</v>
      </c>
      <c r="G939" s="265">
        <v>913348.04068049625</v>
      </c>
    </row>
    <row r="940" spans="6:7" x14ac:dyDescent="0.25">
      <c r="F940" s="259">
        <v>935</v>
      </c>
      <c r="G940" s="265">
        <v>1819044.7513040178</v>
      </c>
    </row>
    <row r="941" spans="6:7" x14ac:dyDescent="0.25">
      <c r="F941" s="259">
        <v>936</v>
      </c>
      <c r="G941" s="265">
        <v>1743124.4428175702</v>
      </c>
    </row>
    <row r="942" spans="6:7" x14ac:dyDescent="0.25">
      <c r="F942" s="259">
        <v>937</v>
      </c>
      <c r="G942" s="265">
        <v>1489048.0568095455</v>
      </c>
    </row>
    <row r="943" spans="6:7" x14ac:dyDescent="0.25">
      <c r="F943" s="259">
        <v>938</v>
      </c>
      <c r="G943" s="265">
        <v>1786657.6348347403</v>
      </c>
    </row>
    <row r="944" spans="6:7" x14ac:dyDescent="0.25">
      <c r="F944" s="259">
        <v>939</v>
      </c>
      <c r="G944" s="265">
        <v>1743124.4428175702</v>
      </c>
    </row>
    <row r="945" spans="6:7" x14ac:dyDescent="0.25">
      <c r="F945" s="259">
        <v>940</v>
      </c>
      <c r="G945" s="265">
        <v>1246011.6808782471</v>
      </c>
    </row>
    <row r="946" spans="6:7" x14ac:dyDescent="0.25">
      <c r="F946" s="259">
        <v>941</v>
      </c>
      <c r="G946" s="265">
        <v>1643343.4885433894</v>
      </c>
    </row>
    <row r="947" spans="6:7" x14ac:dyDescent="0.25">
      <c r="F947" s="259">
        <v>942</v>
      </c>
      <c r="G947" s="265">
        <v>1246011.6808782471</v>
      </c>
    </row>
    <row r="948" spans="6:7" x14ac:dyDescent="0.25">
      <c r="F948" s="259">
        <v>943</v>
      </c>
      <c r="G948" s="265">
        <v>1588616.8801413965</v>
      </c>
    </row>
    <row r="949" spans="6:7" x14ac:dyDescent="0.25">
      <c r="F949" s="259">
        <v>944</v>
      </c>
      <c r="G949" s="265">
        <v>1067749.5378855052</v>
      </c>
    </row>
    <row r="950" spans="6:7" x14ac:dyDescent="0.25">
      <c r="F950" s="259">
        <v>945</v>
      </c>
      <c r="G950" s="265">
        <v>893463.36350872996</v>
      </c>
    </row>
    <row r="951" spans="6:7" x14ac:dyDescent="0.25">
      <c r="F951" s="259">
        <v>946</v>
      </c>
      <c r="G951" s="265">
        <v>1576114.4408438844</v>
      </c>
    </row>
    <row r="952" spans="6:7" x14ac:dyDescent="0.25">
      <c r="F952" s="259">
        <v>947</v>
      </c>
      <c r="G952" s="265">
        <v>937102.62099706451</v>
      </c>
    </row>
    <row r="953" spans="6:7" x14ac:dyDescent="0.25">
      <c r="F953" s="259">
        <v>948</v>
      </c>
      <c r="G953" s="265">
        <v>1413021.6828519325</v>
      </c>
    </row>
    <row r="954" spans="6:7" x14ac:dyDescent="0.25">
      <c r="F954" s="259">
        <v>949</v>
      </c>
      <c r="G954" s="265">
        <v>504764.09199629817</v>
      </c>
    </row>
    <row r="955" spans="6:7" x14ac:dyDescent="0.25">
      <c r="F955" s="259">
        <v>950</v>
      </c>
      <c r="G955" s="265">
        <v>1587307.8572287085</v>
      </c>
    </row>
    <row r="956" spans="6:7" x14ac:dyDescent="0.25">
      <c r="F956" s="259">
        <v>951</v>
      </c>
      <c r="G956" s="265">
        <v>1885129.5661962316</v>
      </c>
    </row>
    <row r="957" spans="6:7" x14ac:dyDescent="0.25">
      <c r="F957" s="259">
        <v>952</v>
      </c>
      <c r="G957" s="265">
        <v>1917516.6826655101</v>
      </c>
    </row>
    <row r="958" spans="6:7" x14ac:dyDescent="0.25">
      <c r="F958" s="259">
        <v>953</v>
      </c>
      <c r="G958" s="265">
        <v>1941165.1975109139</v>
      </c>
    </row>
    <row r="959" spans="6:7" x14ac:dyDescent="0.25">
      <c r="F959" s="259">
        <v>954</v>
      </c>
      <c r="G959" s="265">
        <v>1274634.9596738881</v>
      </c>
    </row>
    <row r="960" spans="6:7" x14ac:dyDescent="0.25">
      <c r="F960" s="259">
        <v>955</v>
      </c>
      <c r="G960" s="265">
        <v>913348.04068049625</v>
      </c>
    </row>
    <row r="961" spans="6:7" x14ac:dyDescent="0.25">
      <c r="F961" s="259">
        <v>956</v>
      </c>
      <c r="G961" s="265">
        <v>893463.36350872996</v>
      </c>
    </row>
    <row r="962" spans="6:7" x14ac:dyDescent="0.25">
      <c r="F962" s="259">
        <v>957</v>
      </c>
      <c r="G962" s="265">
        <v>1430345.4797915858</v>
      </c>
    </row>
    <row r="963" spans="6:7" x14ac:dyDescent="0.25">
      <c r="F963" s="259">
        <v>958</v>
      </c>
      <c r="G963" s="265">
        <v>837427.73219404859</v>
      </c>
    </row>
    <row r="964" spans="6:7" x14ac:dyDescent="0.25">
      <c r="F964" s="259">
        <v>959</v>
      </c>
      <c r="G964" s="265">
        <v>1258514.1201757588</v>
      </c>
    </row>
    <row r="965" spans="6:7" x14ac:dyDescent="0.25">
      <c r="F965" s="259">
        <v>960</v>
      </c>
      <c r="G965" s="265">
        <v>1120127.3969977144</v>
      </c>
    </row>
    <row r="966" spans="6:7" x14ac:dyDescent="0.25">
      <c r="F966" s="259">
        <v>961</v>
      </c>
      <c r="G966" s="265">
        <v>902095.89966144017</v>
      </c>
    </row>
    <row r="967" spans="6:7" x14ac:dyDescent="0.25">
      <c r="F967" s="259">
        <v>962</v>
      </c>
      <c r="G967" s="265">
        <v>639280.91202954063</v>
      </c>
    </row>
    <row r="968" spans="6:7" x14ac:dyDescent="0.25">
      <c r="F968" s="259">
        <v>963</v>
      </c>
      <c r="G968" s="265">
        <v>1667098.0688599576</v>
      </c>
    </row>
    <row r="969" spans="6:7" x14ac:dyDescent="0.25">
      <c r="F969" s="259">
        <v>964</v>
      </c>
      <c r="G969" s="265">
        <v>1845360.2118526995</v>
      </c>
    </row>
    <row r="970" spans="6:7" x14ac:dyDescent="0.25">
      <c r="F970" s="259">
        <v>965</v>
      </c>
      <c r="G970" s="265">
        <v>1167530.4921596861</v>
      </c>
    </row>
    <row r="971" spans="6:7" x14ac:dyDescent="0.25">
      <c r="F971" s="259">
        <v>966</v>
      </c>
      <c r="G971" s="265">
        <v>659165.58920130669</v>
      </c>
    </row>
    <row r="972" spans="6:7" x14ac:dyDescent="0.25">
      <c r="F972" s="259">
        <v>967</v>
      </c>
      <c r="G972" s="265">
        <v>1611062.4375452758</v>
      </c>
    </row>
    <row r="973" spans="6:7" x14ac:dyDescent="0.25">
      <c r="F973" s="259">
        <v>968</v>
      </c>
      <c r="G973" s="265">
        <v>915908.92091260967</v>
      </c>
    </row>
    <row r="974" spans="6:7" x14ac:dyDescent="0.25">
      <c r="F974" s="259">
        <v>969</v>
      </c>
      <c r="G974" s="265">
        <v>1182487.7462181468</v>
      </c>
    </row>
    <row r="975" spans="6:7" x14ac:dyDescent="0.25">
      <c r="F975" s="259">
        <v>970</v>
      </c>
      <c r="G975" s="265">
        <v>1556229.7636721185</v>
      </c>
    </row>
    <row r="976" spans="6:7" x14ac:dyDescent="0.25">
      <c r="F976" s="259">
        <v>971</v>
      </c>
      <c r="G976" s="265">
        <v>1015583.8097156254</v>
      </c>
    </row>
    <row r="977" spans="6:7" x14ac:dyDescent="0.25">
      <c r="F977" s="259">
        <v>972</v>
      </c>
      <c r="G977" s="265">
        <v>559596.76586945541</v>
      </c>
    </row>
    <row r="978" spans="6:7" x14ac:dyDescent="0.25">
      <c r="F978" s="259">
        <v>973</v>
      </c>
      <c r="G978" s="265">
        <v>1282162.6350211627</v>
      </c>
    </row>
    <row r="979" spans="6:7" x14ac:dyDescent="0.25">
      <c r="F979" s="259">
        <v>974</v>
      </c>
      <c r="G979" s="265">
        <v>1743018.3773464058</v>
      </c>
    </row>
    <row r="980" spans="6:7" x14ac:dyDescent="0.25">
      <c r="F980" s="259">
        <v>975</v>
      </c>
      <c r="G980" s="265">
        <v>1047864.8607137394</v>
      </c>
    </row>
    <row r="981" spans="6:7" x14ac:dyDescent="0.25">
      <c r="F981" s="259">
        <v>976</v>
      </c>
      <c r="G981" s="265">
        <v>1564968.3652959932</v>
      </c>
    </row>
    <row r="982" spans="6:7" x14ac:dyDescent="0.25">
      <c r="F982" s="259">
        <v>977</v>
      </c>
      <c r="G982" s="265">
        <v>1027980.1835419729</v>
      </c>
    </row>
    <row r="983" spans="6:7" x14ac:dyDescent="0.25">
      <c r="F983" s="259">
        <v>978</v>
      </c>
      <c r="G983" s="265">
        <v>937102.62099706451</v>
      </c>
    </row>
    <row r="984" spans="6:7" x14ac:dyDescent="0.25">
      <c r="F984" s="259">
        <v>979</v>
      </c>
      <c r="G984" s="265">
        <v>1412915.6173807676</v>
      </c>
    </row>
    <row r="985" spans="6:7" x14ac:dyDescent="0.25">
      <c r="F985" s="259">
        <v>980</v>
      </c>
      <c r="G985" s="265">
        <v>405089.20319328201</v>
      </c>
    </row>
    <row r="986" spans="6:7" x14ac:dyDescent="0.25">
      <c r="F986" s="259">
        <v>981</v>
      </c>
      <c r="G986" s="265">
        <v>1321931.9893646948</v>
      </c>
    </row>
    <row r="987" spans="6:7" x14ac:dyDescent="0.25">
      <c r="F987" s="259">
        <v>982</v>
      </c>
      <c r="G987" s="265">
        <v>1004331.6686965697</v>
      </c>
    </row>
    <row r="988" spans="6:7" x14ac:dyDescent="0.25">
      <c r="F988" s="259">
        <v>983</v>
      </c>
      <c r="G988" s="265">
        <v>1941165.1975109139</v>
      </c>
    </row>
    <row r="989" spans="6:7" x14ac:dyDescent="0.25">
      <c r="F989" s="259">
        <v>984</v>
      </c>
      <c r="G989" s="265">
        <v>1739360.6051439331</v>
      </c>
    </row>
    <row r="990" spans="6:7" x14ac:dyDescent="0.25">
      <c r="F990" s="259">
        <v>985</v>
      </c>
      <c r="G990" s="265">
        <v>735191.96315891924</v>
      </c>
    </row>
    <row r="991" spans="6:7" x14ac:dyDescent="0.25">
      <c r="F991" s="259">
        <v>986</v>
      </c>
      <c r="G991" s="265">
        <v>1120127.3969977144</v>
      </c>
    </row>
    <row r="992" spans="6:7" x14ac:dyDescent="0.25">
      <c r="F992" s="259">
        <v>987</v>
      </c>
      <c r="G992" s="265">
        <v>1176163.0283123963</v>
      </c>
    </row>
    <row r="993" spans="6:7" x14ac:dyDescent="0.25">
      <c r="F993" s="259">
        <v>988</v>
      </c>
      <c r="G993" s="265">
        <v>1358189.0089787748</v>
      </c>
    </row>
    <row r="994" spans="6:7" x14ac:dyDescent="0.25">
      <c r="F994" s="259">
        <v>989</v>
      </c>
      <c r="G994" s="265">
        <v>1167530.4921596861</v>
      </c>
    </row>
    <row r="995" spans="6:7" x14ac:dyDescent="0.25">
      <c r="F995" s="259">
        <v>990</v>
      </c>
      <c r="G995" s="265">
        <v>1182487.7462181468</v>
      </c>
    </row>
    <row r="996" spans="6:7" x14ac:dyDescent="0.25">
      <c r="F996" s="259">
        <v>991</v>
      </c>
      <c r="G996" s="265">
        <v>945735.15714977449</v>
      </c>
    </row>
    <row r="997" spans="6:7" x14ac:dyDescent="0.25">
      <c r="F997" s="259">
        <v>992</v>
      </c>
      <c r="G997" s="265">
        <v>1619694.9736979865</v>
      </c>
    </row>
    <row r="998" spans="6:7" x14ac:dyDescent="0.25">
      <c r="F998" s="259">
        <v>993</v>
      </c>
      <c r="G998" s="265">
        <v>1480309.4551856709</v>
      </c>
    </row>
    <row r="999" spans="6:7" x14ac:dyDescent="0.25">
      <c r="F999" s="259">
        <v>994</v>
      </c>
      <c r="G999" s="265">
        <v>1634817.0178618445</v>
      </c>
    </row>
    <row r="1000" spans="6:7" x14ac:dyDescent="0.25">
      <c r="F1000" s="259">
        <v>995</v>
      </c>
      <c r="G1000" s="265">
        <v>1222363.1660328438</v>
      </c>
    </row>
    <row r="1001" spans="6:7" x14ac:dyDescent="0.25">
      <c r="F1001" s="259">
        <v>996</v>
      </c>
      <c r="G1001" s="265">
        <v>1202372.4233899126</v>
      </c>
    </row>
    <row r="1002" spans="6:7" x14ac:dyDescent="0.25">
      <c r="F1002" s="259">
        <v>997</v>
      </c>
      <c r="G1002" s="265">
        <v>1176163.0283123963</v>
      </c>
    </row>
    <row r="1003" spans="6:7" x14ac:dyDescent="0.25">
      <c r="F1003" s="259">
        <v>998</v>
      </c>
      <c r="G1003" s="265">
        <v>1410460.8026198195</v>
      </c>
    </row>
    <row r="1004" spans="6:7" x14ac:dyDescent="0.25">
      <c r="F1004" s="259">
        <v>999</v>
      </c>
      <c r="G1004" s="265">
        <v>991829.22939905757</v>
      </c>
    </row>
    <row r="1005" spans="6:7" x14ac:dyDescent="0.25">
      <c r="F1005" s="259">
        <v>1000</v>
      </c>
      <c r="G1005" s="265">
        <v>1576114.4408438844</v>
      </c>
    </row>
    <row r="1006" spans="6:7" x14ac:dyDescent="0.25">
      <c r="F1006" s="259">
        <v>1001</v>
      </c>
      <c r="G1006" s="265">
        <v>1587307.8572287085</v>
      </c>
    </row>
  </sheetData>
  <sortState ref="J6:L93">
    <sortCondition ref="J5:J92"/>
  </sortState>
  <mergeCells count="1">
    <mergeCell ref="C4:D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NCF</vt:lpstr>
      <vt:lpstr>Montecarlo_Simulation</vt:lpstr>
      <vt:lpstr>Result</vt:lpstr>
      <vt:lpstr>FTE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Juan</cp:lastModifiedBy>
  <cp:lastPrinted>2015-10-20T11:27:53Z</cp:lastPrinted>
  <dcterms:created xsi:type="dcterms:W3CDTF">2015-09-05T02:47:21Z</dcterms:created>
  <dcterms:modified xsi:type="dcterms:W3CDTF">2015-11-12T04:22:46Z</dcterms:modified>
</cp:coreProperties>
</file>